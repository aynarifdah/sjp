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Personal Project\Parameter Kemiskinan (Depok)\"/>
    </mc:Choice>
  </mc:AlternateContent>
  <xr:revisionPtr revIDLastSave="0" documentId="8_{429BE75A-E73B-114F-A486-7CCE10E681E2}" xr6:coauthVersionLast="47" xr6:coauthVersionMax="47" xr10:uidLastSave="{00000000-0000-0000-0000-000000000000}"/>
  <bookViews>
    <workbookView xWindow="-120" yWindow="-120" windowWidth="20730" windowHeight="11040" xr2:uid="{0FC7EE06-ABB4-B842-8CCB-6A5BBD67BEC8}"/>
  </bookViews>
  <sheets>
    <sheet name="Pembobotan" sheetId="11" r:id="rId1"/>
    <sheet name="Simulasi Rentan Miskin" sheetId="5" r:id="rId2"/>
    <sheet name="Simulasi Miskin" sheetId="12" r:id="rId3"/>
    <sheet name="Simulasi Sangat Miskin" sheetId="13" r:id="rId4"/>
    <sheet name="Dasar Klasifikasi" sheetId="9" r:id="rId5"/>
  </sheets>
  <definedNames>
    <definedName name="_xlchart.v2.0" hidden="1">'Dasar Klasifikasi'!$A$2:$A$7</definedName>
    <definedName name="_xlchart.v2.1" hidden="1">'Dasar Klasifikasi'!$B$2:$B$7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9" l="1"/>
  <c r="C21" i="9"/>
  <c r="C22" i="9"/>
  <c r="C23" i="9"/>
  <c r="C24" i="9"/>
  <c r="C25" i="9"/>
  <c r="I15" i="13"/>
  <c r="I14" i="13"/>
  <c r="I13" i="13"/>
  <c r="I12" i="13"/>
  <c r="I11" i="13"/>
  <c r="I10" i="13"/>
  <c r="I9" i="13"/>
  <c r="I8" i="13"/>
  <c r="I7" i="13"/>
  <c r="I6" i="13"/>
  <c r="I5" i="13"/>
  <c r="I4" i="13"/>
  <c r="I3" i="13"/>
  <c r="I2" i="13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G63" i="11"/>
  <c r="G45" i="11"/>
  <c r="G46" i="11"/>
  <c r="G47" i="11"/>
  <c r="G48" i="11"/>
  <c r="G49" i="11"/>
  <c r="G29" i="11"/>
  <c r="G30" i="11"/>
  <c r="G31" i="11"/>
  <c r="G32" i="11"/>
  <c r="G33" i="11"/>
  <c r="G34" i="11"/>
  <c r="G35" i="11"/>
  <c r="G11" i="11"/>
  <c r="G12" i="11"/>
  <c r="G15" i="11"/>
  <c r="G40" i="11"/>
  <c r="G41" i="11"/>
  <c r="G42" i="11"/>
  <c r="I16" i="13"/>
  <c r="J16" i="13"/>
  <c r="I16" i="12"/>
  <c r="J16" i="12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J16" i="5"/>
</calcChain>
</file>

<file path=xl/sharedStrings.xml><?xml version="1.0" encoding="utf-8"?>
<sst xmlns="http://schemas.openxmlformats.org/spreadsheetml/2006/main" count="389" uniqueCount="121">
  <si>
    <t>No</t>
  </si>
  <si>
    <t>Paremeter Kota Depok</t>
  </si>
  <si>
    <t>Indeks</t>
  </si>
  <si>
    <t>Bobot</t>
  </si>
  <si>
    <t>Jenis Kota Depok</t>
  </si>
  <si>
    <t>Indeks terintegrasi</t>
  </si>
  <si>
    <t>Milik Sendiri</t>
  </si>
  <si>
    <t>Kontrak/Sewa</t>
  </si>
  <si>
    <t>Milik pihak lain</t>
  </si>
  <si>
    <t>Penghasilan rata-rata/bulan</t>
  </si>
  <si>
    <t>Kurang dari Rp. 3.000.000,00</t>
  </si>
  <si>
    <t>Kurang dari Rp. 2.000.000,00</t>
  </si>
  <si>
    <t>Kurang dari Rp. 1.000.000,00</t>
  </si>
  <si>
    <t>Kepemilikan kendaraan</t>
  </si>
  <si>
    <t>memiliki kendaraan roda 4</t>
  </si>
  <si>
    <t>memiliki lebih dari 1 kendaraan roda 2</t>
  </si>
  <si>
    <t>memiliki 1 kendaraan  roda 2 lebih dari dan sama dengan 150cc</t>
  </si>
  <si>
    <t>memiliki 1 kendaraan roda 2 dibawah 150 cc</t>
  </si>
  <si>
    <t>Tidak memiliki kendaraan roda 2</t>
  </si>
  <si>
    <t>Jumlah Tanggungan Keluarga</t>
  </si>
  <si>
    <t>tidak ada</t>
  </si>
  <si>
    <t>1 jiwa</t>
  </si>
  <si>
    <t>2 jiwa</t>
  </si>
  <si>
    <t>3 jiwa</t>
  </si>
  <si>
    <t>4 jiwa</t>
  </si>
  <si>
    <t>5 jiwa</t>
  </si>
  <si>
    <t>lebih dari 5 jiwa</t>
  </si>
  <si>
    <t xml:space="preserve">Memiliki anggota keluarga lansia/Disabilitas /keterbelakangan mental / berkebutuhan khusus lainnya </t>
  </si>
  <si>
    <t>Tidak ada</t>
  </si>
  <si>
    <t>ada</t>
  </si>
  <si>
    <t>Jenis lantai</t>
  </si>
  <si>
    <t>Marmer/granit</t>
  </si>
  <si>
    <t>Keramik</t>
  </si>
  <si>
    <t>Ubin/tegel/teraso</t>
  </si>
  <si>
    <t>Kayu/Papan kualitas tinggi</t>
  </si>
  <si>
    <t>Semen</t>
  </si>
  <si>
    <t>bambu</t>
  </si>
  <si>
    <t>Kayu/Papan kualitas rendah</t>
  </si>
  <si>
    <t>Tanah</t>
  </si>
  <si>
    <t>Jenis dan kondisi dinding</t>
  </si>
  <si>
    <t>Tembok bagus/kualitas tinggi</t>
  </si>
  <si>
    <t>Tembok jelek/kualitas rendah</t>
  </si>
  <si>
    <t>Kayu/anyaman bambu/batang kayu/triplek/seng.</t>
  </si>
  <si>
    <t>Jenis dan kondisi Atap</t>
  </si>
  <si>
    <t>Beton/Genteng Keramik/genteng beton</t>
  </si>
  <si>
    <t>Genteng metal/spandek</t>
  </si>
  <si>
    <t>Genteng tanah liat</t>
  </si>
  <si>
    <t>Asbes/seng</t>
  </si>
  <si>
    <t>Bambu/jerami/ijuk/rumbia.</t>
  </si>
  <si>
    <t>Sumber air minum</t>
  </si>
  <si>
    <t>Air kemasan bemerek</t>
  </si>
  <si>
    <t>air isi ulang</t>
  </si>
  <si>
    <t>ledeng meteran/eceran</t>
  </si>
  <si>
    <t>sumur bor/pompa/sumur terlindungi</t>
  </si>
  <si>
    <t>sumur tak terlindungi</t>
  </si>
  <si>
    <t>air sungai/danau/waduk/hujan</t>
  </si>
  <si>
    <t>Sumber dan daya listrik terpasang</t>
  </si>
  <si>
    <t>900 watt s.d. 2.200 watt</t>
  </si>
  <si>
    <t>kurang dari 900 watt</t>
  </si>
  <si>
    <t>450 watt</t>
  </si>
  <si>
    <t>tanpa meteran/bukan listrik</t>
  </si>
  <si>
    <t>Kepemilikan dan penggunaan Kamar Mandi Cuci Kakus (MCK)</t>
  </si>
  <si>
    <t>Sendiri</t>
  </si>
  <si>
    <t>Bersama</t>
  </si>
  <si>
    <t>Fasilitas Tempat Pembuangan Akhir Tinja</t>
  </si>
  <si>
    <t>Septic tank</t>
  </si>
  <si>
    <t>Septic tank komunal</t>
  </si>
  <si>
    <t>Lubang tanah</t>
  </si>
  <si>
    <t>Kolam/sawah/sungai/danau</t>
  </si>
  <si>
    <t>Tanah/kebun</t>
  </si>
  <si>
    <t>Kemampuan akses  pendidikan</t>
  </si>
  <si>
    <t>Tidak ada anggota keluarga putus sekolah</t>
  </si>
  <si>
    <t xml:space="preserve">bersekolah tetapi tidak mampu membayar biaya pendidikan </t>
  </si>
  <si>
    <t>Ada anggota keluarga putus sekolah (SD,SMP dan SMA)</t>
  </si>
  <si>
    <t>Kesanggupan biaya pengobatan</t>
  </si>
  <si>
    <t>sanggup membayar iuran Jaminan Kesehatan Nasional terendah secara mandiri (KIS Mandiri)</t>
  </si>
  <si>
    <t>Memiliki KIS PBI (kartu Indonesia sehat penerima bantuan iuran)</t>
  </si>
  <si>
    <t>Tidak sanggup membayar iuran Jaminan Kesehatan Nasional terendah/tidak memiliki KIS</t>
  </si>
  <si>
    <t>Status Tempat Tinggal</t>
  </si>
  <si>
    <t>Parameter</t>
  </si>
  <si>
    <t>x</t>
  </si>
  <si>
    <t>Indeks Terintegrasi</t>
  </si>
  <si>
    <t>=</t>
  </si>
  <si>
    <t>Indeks Kumulatif</t>
  </si>
  <si>
    <t>Keterangan</t>
  </si>
  <si>
    <t>Penentuan kriteria rentan miskin/miskin/sangat miskin</t>
  </si>
  <si>
    <t>Ada</t>
  </si>
  <si>
    <t>***Simulasi di atas menunjukkan kemungkinan situasi terbaik dalam kelompok masyarakat yang terkategorisasi "rentan miskin"</t>
  </si>
  <si>
    <t>***Simulasi di atas menunjukkan kemungkinan situasi terbaik dalam kelompok masyarakat yang terkategorisasi "miskin"</t>
  </si>
  <si>
    <t>***Simulasi di atas menunjukkan kemungkinan situasi terbaik dalam kelompok masyarakat yang terkategorisasi "sangat miskin"</t>
  </si>
  <si>
    <t>Kemampuan akses pendidikan</t>
  </si>
  <si>
    <t>***Nilai indeks kumulatif terendah adalah 0.85 dan nilai tertinggi adalah 5.00</t>
  </si>
  <si>
    <t>1. Rumah tangga sangat miskin dengan nilai antara 0,85 (nol koma delapan puluh lima) sampai dengan 2,00 (dua koma nol nol);</t>
  </si>
  <si>
    <r>
      <t xml:space="preserve">2. </t>
    </r>
    <r>
      <rPr>
        <sz val="12"/>
        <color theme="1"/>
        <rFont val="Calibri"/>
        <family val="2"/>
        <scheme val="minor"/>
      </rPr>
      <t>Rumah tangga miskin dengan nilai antara 2,01 (dua koma nol satu) sampai dengan 3,00 (tiga koma nol nol);</t>
    </r>
  </si>
  <si>
    <t>Atas-atas</t>
  </si>
  <si>
    <t>Atas-bawah</t>
  </si>
  <si>
    <t>Menengah-atas</t>
  </si>
  <si>
    <t>Menengah-bawah</t>
  </si>
  <si>
    <t>Bawah-atas</t>
  </si>
  <si>
    <t>Bawah-bawah</t>
  </si>
  <si>
    <t>INDEKS KUMULATIF</t>
  </si>
  <si>
    <t>Pembagian Kelas Sosial</t>
  </si>
  <si>
    <t>Proporsi</t>
  </si>
  <si>
    <t>4. Rumah tangga tidak miskin dengan nilai lebih dari 3,8 (tiga koma delapan)</t>
  </si>
  <si>
    <t xml:space="preserve">3. Rumah tangga rentan miskin dengan nilai antara 3,01 (tiga koma nol satu) sampai dengan 3,8 (tiga koma delapan). </t>
  </si>
  <si>
    <t>Treshold Indeks</t>
  </si>
  <si>
    <t>Sangat miskin</t>
  </si>
  <si>
    <t>Miskin</t>
  </si>
  <si>
    <t>Rentan miskin</t>
  </si>
  <si>
    <t>Tidak miskin</t>
  </si>
  <si>
    <t>Klasifikasi</t>
  </si>
  <si>
    <t>Level</t>
  </si>
  <si>
    <t>Paling determinan</t>
  </si>
  <si>
    <t>Determinan</t>
  </si>
  <si>
    <t>Kompelementer</t>
  </si>
  <si>
    <t>Komplementer</t>
  </si>
  <si>
    <t>Lebih dari Rp. 6.000.000,00</t>
  </si>
  <si>
    <t>Kurang dari Rp 4.000.000,00</t>
  </si>
  <si>
    <t>Kurang dari dan sama dengan  Rp. 6.000.000,00</t>
  </si>
  <si>
    <t>Kurang dari Rp. 5.000.000,00</t>
  </si>
  <si>
    <t>Kurang dari Rp. 4.000.000,00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</si>
</sst>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7" x14ac:knownFonts="1"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2"/>
      <color rgb="FF000000"/>
      <name val="Seaford"/>
    </font>
    <font>
      <sz val="12"/>
      <color rgb="FF000000"/>
      <name val="Seaford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0" fontId="2" fillId="0" borderId="1" xfId="0" applyFont="1" applyBorder="1"/>
    <xf numFmtId="2" fontId="0" fillId="0" borderId="0" xfId="0" applyNumberFormat="1"/>
    <xf numFmtId="164" fontId="0" fillId="0" borderId="0" xfId="0" applyNumberFormat="1"/>
    <xf numFmtId="164" fontId="0" fillId="0" borderId="1" xfId="0" applyNumberFormat="1" applyBorder="1"/>
    <xf numFmtId="2" fontId="2" fillId="0" borderId="1" xfId="0" applyNumberFormat="1" applyFont="1" applyBorder="1"/>
    <xf numFmtId="165" fontId="0" fillId="0" borderId="1" xfId="1" applyNumberFormat="1" applyFont="1" applyBorder="1"/>
    <xf numFmtId="0" fontId="2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readingOrder="1"/>
    </xf>
    <xf numFmtId="0" fontId="5" fillId="0" borderId="8" xfId="0" applyFont="1" applyBorder="1" applyAlignment="1">
      <alignment horizontal="center" readingOrder="1"/>
    </xf>
    <xf numFmtId="0" fontId="5" fillId="0" borderId="8" xfId="0" applyFont="1" applyBorder="1" applyAlignment="1">
      <alignment horizontal="left" readingOrder="1"/>
    </xf>
    <xf numFmtId="0" fontId="6" fillId="0" borderId="8" xfId="0" applyFont="1" applyBorder="1" applyAlignment="1">
      <alignment horizontal="center" readingOrder="1"/>
    </xf>
    <xf numFmtId="0" fontId="1" fillId="0" borderId="2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center" vertical="top" wrapText="1"/>
    </xf>
    <xf numFmtId="0" fontId="0" fillId="0" borderId="0" xfId="0" applyBorder="1"/>
    <xf numFmtId="0" fontId="1" fillId="0" borderId="9" xfId="0" applyFont="1" applyBorder="1" applyAlignment="1">
      <alignment horizontal="left" vertical="top"/>
    </xf>
    <xf numFmtId="0" fontId="0" fillId="0" borderId="9" xfId="0" applyBorder="1" applyAlignment="1"/>
    <xf numFmtId="0" fontId="0" fillId="0" borderId="9" xfId="0" applyFill="1" applyBorder="1" applyAlignment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Piramida Kelas Sosial di Jawa Barat (Pattinasarany, 2012)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Piramida Kelas Sosial di Jawa Barat (Pattinasarany, 2012)</a:t>
          </a:r>
        </a:p>
      </cx:txPr>
    </cx:title>
    <cx:plotArea>
      <cx:plotAreaRegion>
        <cx:series layoutId="funnel" uniqueId="{45B37F40-087A-4D40-9014-932F9E2EBCB4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376236</xdr:colOff>
      <xdr:row>0</xdr:row>
      <xdr:rowOff>171449</xdr:rowOff>
    </xdr:from>
    <xdr:to>
      <xdr:col>9</xdr:col>
      <xdr:colOff>571499</xdr:colOff>
      <xdr:row>16</xdr:row>
      <xdr:rowOff>66674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96B4F60-5DC5-4E42-8881-58069D3A04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123825</xdr:colOff>
      <xdr:row>1</xdr:row>
      <xdr:rowOff>95250</xdr:rowOff>
    </xdr:from>
    <xdr:to>
      <xdr:col>15</xdr:col>
      <xdr:colOff>104775</xdr:colOff>
      <xdr:row>16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B69116E-572B-4913-AFA0-C9E00D7991C8}"/>
            </a:ext>
          </a:extLst>
        </xdr:cNvPr>
        <xdr:cNvSpPr txBox="1"/>
      </xdr:nvSpPr>
      <xdr:spPr>
        <a:xfrm>
          <a:off x="8515350" y="295275"/>
          <a:ext cx="3409950" cy="2924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Keputusan klasifikasi</a:t>
          </a:r>
          <a:r>
            <a:rPr lang="en-ID" sz="1100" baseline="0"/>
            <a:t> rumah tangga (sangat miskin/miskin/rentan miskin dan tidak miskin) di kota Depok berdasarkan pada piramida kelas sosial masyarakat Jawa Barat yang dikembangkan Pattinasarany (2012).</a:t>
          </a:r>
        </a:p>
        <a:p>
          <a:endParaRPr lang="en-ID" sz="1100" baseline="0"/>
        </a:p>
        <a:p>
          <a:r>
            <a:rPr lang="en-ID" sz="1100" baseline="0"/>
            <a:t>Penentuan interval indeks untuk kelompok sangat miskin/miskin/rentan miskin berada pada posisi kelas sosial bawah-bawah, bawah-atas dan menengah-bawah dengan total proporsi sebesar 71,4%.</a:t>
          </a:r>
        </a:p>
        <a:p>
          <a:endParaRPr lang="en-ID" sz="1100" baseline="0"/>
        </a:p>
        <a:p>
          <a:r>
            <a:rPr lang="en-ID" sz="1100" baseline="0"/>
            <a:t>Dari proporsi tersebut ditentukanlah jika nilai indeks kumulatif lebih dari 3,85 (maksimum 5) maka rumah tangga tersebut tidak dikategorisasi rentan miskin/miskin/sangat miskin (tidak miskin)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4CD3C-D99C-4CC0-9598-CB1D90734843}">
  <dimension ref="A2:J73"/>
  <sheetViews>
    <sheetView tabSelected="1" topLeftCell="A61" zoomScale="95" workbookViewId="0">
      <selection activeCell="F47" sqref="F47"/>
    </sheetView>
  </sheetViews>
  <sheetFormatPr defaultColWidth="10.97265625" defaultRowHeight="15" x14ac:dyDescent="0.2"/>
  <cols>
    <col min="1" max="1" width="4.9296875" customWidth="1"/>
    <col min="2" max="2" width="48.58203125" customWidth="1"/>
    <col min="3" max="4" width="11.34375" customWidth="1"/>
    <col min="5" max="5" width="4.3125" customWidth="1"/>
    <col min="6" max="6" width="49.078125" customWidth="1"/>
    <col min="7" max="7" width="11.46484375" customWidth="1"/>
  </cols>
  <sheetData>
    <row r="2" spans="1:10" ht="30" x14ac:dyDescent="0.2">
      <c r="A2" s="1" t="s">
        <v>0</v>
      </c>
      <c r="B2" s="1" t="s">
        <v>1</v>
      </c>
      <c r="C2" s="1" t="s">
        <v>2</v>
      </c>
      <c r="D2" s="1" t="s">
        <v>3</v>
      </c>
      <c r="E2" s="44" t="s">
        <v>4</v>
      </c>
      <c r="F2" s="45"/>
      <c r="G2" s="2" t="s">
        <v>5</v>
      </c>
    </row>
    <row r="3" spans="1:10" x14ac:dyDescent="0.2">
      <c r="A3" s="35">
        <v>1</v>
      </c>
      <c r="B3" s="38" t="s">
        <v>9</v>
      </c>
      <c r="C3" s="3">
        <v>1</v>
      </c>
      <c r="D3" s="3">
        <v>0.5</v>
      </c>
      <c r="E3" s="4">
        <v>1</v>
      </c>
      <c r="F3" s="5" t="s">
        <v>116</v>
      </c>
      <c r="G3" s="29">
        <v>1</v>
      </c>
      <c r="H3" s="32"/>
      <c r="I3" s="31"/>
      <c r="J3" s="31"/>
    </row>
    <row r="4" spans="1:10" x14ac:dyDescent="0.2">
      <c r="A4" s="36"/>
      <c r="B4" s="39"/>
      <c r="C4" s="6"/>
      <c r="D4" s="6"/>
      <c r="E4" s="4">
        <v>2</v>
      </c>
      <c r="F4" s="5" t="s">
        <v>118</v>
      </c>
      <c r="G4" s="29">
        <v>0.9</v>
      </c>
      <c r="H4" s="32"/>
      <c r="I4" s="31"/>
      <c r="J4" s="31"/>
    </row>
    <row r="5" spans="1:10" x14ac:dyDescent="0.2">
      <c r="A5" s="36"/>
      <c r="B5" s="39"/>
      <c r="C5" s="6"/>
      <c r="D5" s="6"/>
      <c r="E5" s="4">
        <v>3</v>
      </c>
      <c r="F5" s="5" t="s">
        <v>119</v>
      </c>
      <c r="G5" s="29">
        <v>0.7</v>
      </c>
      <c r="H5" s="32"/>
      <c r="I5" s="31"/>
      <c r="J5" s="31"/>
    </row>
    <row r="6" spans="1:10" x14ac:dyDescent="0.2">
      <c r="A6" s="36"/>
      <c r="B6" s="39"/>
      <c r="C6" s="6"/>
      <c r="D6" s="6"/>
      <c r="E6" s="4">
        <v>4</v>
      </c>
      <c r="F6" s="5" t="s">
        <v>120</v>
      </c>
      <c r="G6" s="29">
        <v>0.5</v>
      </c>
      <c r="H6" s="33"/>
      <c r="I6" s="31"/>
      <c r="J6" s="31"/>
    </row>
    <row r="7" spans="1:10" x14ac:dyDescent="0.2">
      <c r="A7" s="36"/>
      <c r="B7" s="39"/>
      <c r="C7" s="6"/>
      <c r="D7" s="6"/>
      <c r="E7" s="4">
        <v>5</v>
      </c>
      <c r="F7" s="5" t="s">
        <v>10</v>
      </c>
      <c r="G7" s="29">
        <v>0.3</v>
      </c>
      <c r="H7" s="33"/>
      <c r="I7" s="31"/>
      <c r="J7" s="31"/>
    </row>
    <row r="8" spans="1:10" x14ac:dyDescent="0.2">
      <c r="A8" s="36"/>
      <c r="B8" s="39"/>
      <c r="C8" s="6"/>
      <c r="D8" s="6"/>
      <c r="E8" s="4">
        <v>6</v>
      </c>
      <c r="F8" s="5" t="s">
        <v>11</v>
      </c>
      <c r="G8" s="29">
        <v>0.2</v>
      </c>
      <c r="H8" s="34"/>
      <c r="I8" s="31"/>
      <c r="J8" s="31"/>
    </row>
    <row r="9" spans="1:10" x14ac:dyDescent="0.2">
      <c r="A9" s="37"/>
      <c r="B9" s="40"/>
      <c r="C9" s="7"/>
      <c r="D9" s="7"/>
      <c r="E9" s="4">
        <v>7</v>
      </c>
      <c r="F9" s="5" t="s">
        <v>12</v>
      </c>
      <c r="G9" s="29">
        <v>0.1</v>
      </c>
      <c r="H9" s="34"/>
      <c r="I9" s="31"/>
      <c r="J9" s="31"/>
    </row>
    <row r="10" spans="1:10" x14ac:dyDescent="0.2">
      <c r="A10" s="35">
        <v>2</v>
      </c>
      <c r="B10" s="38" t="s">
        <v>19</v>
      </c>
      <c r="C10" s="3">
        <v>1</v>
      </c>
      <c r="D10" s="3">
        <v>0.5</v>
      </c>
      <c r="E10" s="4">
        <v>1</v>
      </c>
      <c r="F10" s="5" t="s">
        <v>20</v>
      </c>
      <c r="G10" s="29">
        <v>1</v>
      </c>
      <c r="H10" s="32"/>
      <c r="I10" s="31"/>
      <c r="J10" s="31"/>
    </row>
    <row r="11" spans="1:10" x14ac:dyDescent="0.2">
      <c r="A11" s="36"/>
      <c r="B11" s="39"/>
      <c r="C11" s="6"/>
      <c r="D11" s="6"/>
      <c r="E11" s="4">
        <v>2</v>
      </c>
      <c r="F11" s="5" t="s">
        <v>21</v>
      </c>
      <c r="G11" s="30">
        <f t="shared" ref="G11:G15" si="0">G10-0.143</f>
        <v>0.85699999999999998</v>
      </c>
      <c r="H11" s="32"/>
      <c r="I11" s="31"/>
      <c r="J11" s="31"/>
    </row>
    <row r="12" spans="1:10" x14ac:dyDescent="0.2">
      <c r="A12" s="36"/>
      <c r="B12" s="39"/>
      <c r="C12" s="6"/>
      <c r="D12" s="6"/>
      <c r="E12" s="4">
        <v>3</v>
      </c>
      <c r="F12" s="5" t="s">
        <v>22</v>
      </c>
      <c r="G12" s="30">
        <f t="shared" si="0"/>
        <v>0.71399999999999997</v>
      </c>
      <c r="H12" s="32"/>
      <c r="I12" s="31"/>
      <c r="J12" s="31"/>
    </row>
    <row r="13" spans="1:10" x14ac:dyDescent="0.2">
      <c r="A13" s="36"/>
      <c r="B13" s="39"/>
      <c r="C13" s="6"/>
      <c r="D13" s="6"/>
      <c r="E13" s="4">
        <v>4</v>
      </c>
      <c r="F13" s="5" t="s">
        <v>23</v>
      </c>
      <c r="G13" s="11">
        <v>0.5</v>
      </c>
    </row>
    <row r="14" spans="1:10" x14ac:dyDescent="0.2">
      <c r="A14" s="36"/>
      <c r="B14" s="39"/>
      <c r="C14" s="6"/>
      <c r="D14" s="6"/>
      <c r="E14" s="4">
        <v>5</v>
      </c>
      <c r="F14" s="5" t="s">
        <v>24</v>
      </c>
      <c r="G14" s="11">
        <v>0.3</v>
      </c>
    </row>
    <row r="15" spans="1:10" x14ac:dyDescent="0.2">
      <c r="A15" s="36"/>
      <c r="B15" s="39"/>
      <c r="C15" s="6"/>
      <c r="D15" s="6"/>
      <c r="E15" s="4">
        <v>6</v>
      </c>
      <c r="F15" s="5" t="s">
        <v>25</v>
      </c>
      <c r="G15" s="11">
        <f t="shared" si="0"/>
        <v>0.157</v>
      </c>
    </row>
    <row r="16" spans="1:10" x14ac:dyDescent="0.2">
      <c r="A16" s="37"/>
      <c r="B16" s="40"/>
      <c r="C16" s="7"/>
      <c r="D16" s="7"/>
      <c r="E16" s="4">
        <v>7</v>
      </c>
      <c r="F16" s="5" t="s">
        <v>26</v>
      </c>
      <c r="G16" s="11">
        <v>0.1</v>
      </c>
    </row>
    <row r="17" spans="1:7" x14ac:dyDescent="0.2">
      <c r="A17" s="35">
        <v>3</v>
      </c>
      <c r="B17" s="41" t="s">
        <v>78</v>
      </c>
      <c r="C17" s="8">
        <v>1</v>
      </c>
      <c r="D17" s="8">
        <v>0.5</v>
      </c>
      <c r="E17" s="4">
        <v>1</v>
      </c>
      <c r="F17" s="5" t="s">
        <v>6</v>
      </c>
      <c r="G17" s="12">
        <v>1</v>
      </c>
    </row>
    <row r="18" spans="1:7" x14ac:dyDescent="0.2">
      <c r="A18" s="36"/>
      <c r="B18" s="42"/>
      <c r="C18" s="9"/>
      <c r="D18" s="9"/>
      <c r="E18" s="4">
        <v>2</v>
      </c>
      <c r="F18" s="5" t="s">
        <v>7</v>
      </c>
      <c r="G18" s="11">
        <v>0.5</v>
      </c>
    </row>
    <row r="19" spans="1:7" x14ac:dyDescent="0.2">
      <c r="A19" s="36"/>
      <c r="B19" s="42"/>
      <c r="C19" s="9"/>
      <c r="D19" s="9"/>
      <c r="E19" s="4">
        <v>3</v>
      </c>
      <c r="F19" s="5" t="s">
        <v>8</v>
      </c>
      <c r="G19" s="11">
        <v>0.1</v>
      </c>
    </row>
    <row r="20" spans="1:7" x14ac:dyDescent="0.2">
      <c r="A20" s="35">
        <v>4</v>
      </c>
      <c r="B20" s="41" t="s">
        <v>70</v>
      </c>
      <c r="C20" s="8">
        <v>1</v>
      </c>
      <c r="D20" s="8">
        <v>0.5</v>
      </c>
      <c r="E20" s="4">
        <v>1</v>
      </c>
      <c r="F20" s="5" t="s">
        <v>71</v>
      </c>
      <c r="G20" s="4">
        <v>1</v>
      </c>
    </row>
    <row r="21" spans="1:7" x14ac:dyDescent="0.2">
      <c r="A21" s="36"/>
      <c r="B21" s="42"/>
      <c r="C21" s="9"/>
      <c r="D21" s="9"/>
      <c r="E21" s="4">
        <v>2</v>
      </c>
      <c r="F21" s="5" t="s">
        <v>72</v>
      </c>
      <c r="G21" s="11">
        <v>0.5</v>
      </c>
    </row>
    <row r="22" spans="1:7" x14ac:dyDescent="0.2">
      <c r="A22" s="37"/>
      <c r="B22" s="43"/>
      <c r="C22" s="10"/>
      <c r="D22" s="10"/>
      <c r="E22" s="4">
        <v>3</v>
      </c>
      <c r="F22" s="5" t="s">
        <v>73</v>
      </c>
      <c r="G22" s="11">
        <v>0.1</v>
      </c>
    </row>
    <row r="23" spans="1:7" x14ac:dyDescent="0.2">
      <c r="A23" s="35">
        <v>5</v>
      </c>
      <c r="B23" s="41" t="s">
        <v>13</v>
      </c>
      <c r="C23" s="8">
        <v>1</v>
      </c>
      <c r="D23" s="8">
        <v>0.5</v>
      </c>
      <c r="E23" s="4">
        <v>1</v>
      </c>
      <c r="F23" s="5" t="s">
        <v>14</v>
      </c>
      <c r="G23" s="4">
        <v>1</v>
      </c>
    </row>
    <row r="24" spans="1:7" x14ac:dyDescent="0.2">
      <c r="A24" s="36"/>
      <c r="B24" s="42"/>
      <c r="C24" s="9"/>
      <c r="D24" s="9"/>
      <c r="E24" s="4">
        <v>2</v>
      </c>
      <c r="F24" s="5" t="s">
        <v>15</v>
      </c>
      <c r="G24" s="4">
        <v>0.8</v>
      </c>
    </row>
    <row r="25" spans="1:7" ht="30" x14ac:dyDescent="0.2">
      <c r="A25" s="36"/>
      <c r="B25" s="42"/>
      <c r="C25" s="9"/>
      <c r="D25" s="9"/>
      <c r="E25" s="4">
        <v>3</v>
      </c>
      <c r="F25" s="5" t="s">
        <v>16</v>
      </c>
      <c r="G25" s="4">
        <v>0.6</v>
      </c>
    </row>
    <row r="26" spans="1:7" x14ac:dyDescent="0.2">
      <c r="A26" s="36"/>
      <c r="B26" s="42"/>
      <c r="C26" s="9"/>
      <c r="D26" s="9"/>
      <c r="E26" s="4">
        <v>4</v>
      </c>
      <c r="F26" s="5" t="s">
        <v>17</v>
      </c>
      <c r="G26" s="4">
        <v>0.4</v>
      </c>
    </row>
    <row r="27" spans="1:7" x14ac:dyDescent="0.2">
      <c r="A27" s="37"/>
      <c r="B27" s="43"/>
      <c r="C27" s="10"/>
      <c r="D27" s="10"/>
      <c r="E27" s="4">
        <v>5</v>
      </c>
      <c r="F27" s="5" t="s">
        <v>18</v>
      </c>
      <c r="G27" s="4">
        <v>0.2</v>
      </c>
    </row>
    <row r="28" spans="1:7" x14ac:dyDescent="0.2">
      <c r="A28" s="35">
        <v>6</v>
      </c>
      <c r="B28" s="38" t="s">
        <v>30</v>
      </c>
      <c r="C28" s="3">
        <v>1</v>
      </c>
      <c r="D28" s="3">
        <v>0.3</v>
      </c>
      <c r="E28" s="4">
        <v>1</v>
      </c>
      <c r="F28" s="5" t="s">
        <v>31</v>
      </c>
      <c r="G28" s="12">
        <v>1</v>
      </c>
    </row>
    <row r="29" spans="1:7" x14ac:dyDescent="0.2">
      <c r="A29" s="36"/>
      <c r="B29" s="39"/>
      <c r="C29" s="6"/>
      <c r="D29" s="6"/>
      <c r="E29" s="4">
        <v>2</v>
      </c>
      <c r="F29" s="5" t="s">
        <v>32</v>
      </c>
      <c r="G29" s="11">
        <f t="shared" ref="G29:G35" si="1">G28-0.125</f>
        <v>0.875</v>
      </c>
    </row>
    <row r="30" spans="1:7" x14ac:dyDescent="0.2">
      <c r="A30" s="36"/>
      <c r="B30" s="39"/>
      <c r="C30" s="6"/>
      <c r="D30" s="6"/>
      <c r="E30" s="4">
        <v>3</v>
      </c>
      <c r="F30" s="5" t="s">
        <v>33</v>
      </c>
      <c r="G30" s="11">
        <f t="shared" si="1"/>
        <v>0.75</v>
      </c>
    </row>
    <row r="31" spans="1:7" x14ac:dyDescent="0.2">
      <c r="A31" s="36"/>
      <c r="B31" s="39"/>
      <c r="C31" s="6"/>
      <c r="D31" s="6"/>
      <c r="E31" s="4">
        <v>4</v>
      </c>
      <c r="F31" s="5" t="s">
        <v>34</v>
      </c>
      <c r="G31" s="11">
        <f t="shared" si="1"/>
        <v>0.625</v>
      </c>
    </row>
    <row r="32" spans="1:7" x14ac:dyDescent="0.2">
      <c r="A32" s="36"/>
      <c r="B32" s="39"/>
      <c r="C32" s="6"/>
      <c r="D32" s="6"/>
      <c r="E32" s="4">
        <v>5</v>
      </c>
      <c r="F32" s="5" t="s">
        <v>35</v>
      </c>
      <c r="G32" s="11">
        <f t="shared" si="1"/>
        <v>0.5</v>
      </c>
    </row>
    <row r="33" spans="1:7" x14ac:dyDescent="0.2">
      <c r="A33" s="36"/>
      <c r="B33" s="39"/>
      <c r="C33" s="6"/>
      <c r="D33" s="6"/>
      <c r="E33" s="4">
        <v>6</v>
      </c>
      <c r="F33" s="5" t="s">
        <v>36</v>
      </c>
      <c r="G33" s="11">
        <f t="shared" si="1"/>
        <v>0.375</v>
      </c>
    </row>
    <row r="34" spans="1:7" x14ac:dyDescent="0.2">
      <c r="A34" s="36"/>
      <c r="B34" s="39"/>
      <c r="C34" s="6"/>
      <c r="D34" s="6"/>
      <c r="E34" s="4">
        <v>7</v>
      </c>
      <c r="F34" s="5" t="s">
        <v>37</v>
      </c>
      <c r="G34" s="11">
        <f t="shared" si="1"/>
        <v>0.25</v>
      </c>
    </row>
    <row r="35" spans="1:7" x14ac:dyDescent="0.2">
      <c r="A35" s="37"/>
      <c r="B35" s="40"/>
      <c r="C35" s="7"/>
      <c r="D35" s="7"/>
      <c r="E35" s="4">
        <v>8</v>
      </c>
      <c r="F35" s="5" t="s">
        <v>38</v>
      </c>
      <c r="G35" s="11">
        <f t="shared" si="1"/>
        <v>0.125</v>
      </c>
    </row>
    <row r="36" spans="1:7" x14ac:dyDescent="0.2">
      <c r="A36" s="35">
        <v>7</v>
      </c>
      <c r="B36" s="38" t="s">
        <v>39</v>
      </c>
      <c r="C36" s="3">
        <v>1</v>
      </c>
      <c r="D36" s="3">
        <v>0.3</v>
      </c>
      <c r="E36" s="4">
        <v>1</v>
      </c>
      <c r="F36" s="5" t="s">
        <v>40</v>
      </c>
      <c r="G36" s="12">
        <v>1</v>
      </c>
    </row>
    <row r="37" spans="1:7" x14ac:dyDescent="0.2">
      <c r="A37" s="36"/>
      <c r="B37" s="39"/>
      <c r="C37" s="6"/>
      <c r="D37" s="6"/>
      <c r="E37" s="4">
        <v>2</v>
      </c>
      <c r="F37" s="5" t="s">
        <v>41</v>
      </c>
      <c r="G37" s="11">
        <v>0.5</v>
      </c>
    </row>
    <row r="38" spans="1:7" x14ac:dyDescent="0.2">
      <c r="A38" s="36"/>
      <c r="B38" s="40"/>
      <c r="C38" s="6"/>
      <c r="D38" s="6"/>
      <c r="E38" s="4">
        <v>3</v>
      </c>
      <c r="F38" s="5" t="s">
        <v>42</v>
      </c>
      <c r="G38" s="11">
        <v>0.1</v>
      </c>
    </row>
    <row r="39" spans="1:7" x14ac:dyDescent="0.2">
      <c r="A39" s="35">
        <v>8</v>
      </c>
      <c r="B39" s="38" t="s">
        <v>43</v>
      </c>
      <c r="C39" s="3">
        <v>1</v>
      </c>
      <c r="D39" s="3">
        <v>0.3</v>
      </c>
      <c r="E39" s="4">
        <v>1</v>
      </c>
      <c r="F39" s="5" t="s">
        <v>44</v>
      </c>
      <c r="G39" s="4">
        <v>1</v>
      </c>
    </row>
    <row r="40" spans="1:7" x14ac:dyDescent="0.2">
      <c r="A40" s="36"/>
      <c r="B40" s="39"/>
      <c r="C40" s="6"/>
      <c r="D40" s="6"/>
      <c r="E40" s="4">
        <v>2</v>
      </c>
      <c r="F40" s="5" t="s">
        <v>45</v>
      </c>
      <c r="G40" s="4">
        <f>G39-0.2</f>
        <v>0.8</v>
      </c>
    </row>
    <row r="41" spans="1:7" x14ac:dyDescent="0.2">
      <c r="A41" s="36"/>
      <c r="B41" s="39"/>
      <c r="C41" s="6"/>
      <c r="D41" s="6"/>
      <c r="E41" s="4">
        <v>3</v>
      </c>
      <c r="F41" s="5" t="s">
        <v>46</v>
      </c>
      <c r="G41" s="4">
        <f>G40-0.2</f>
        <v>0.60000000000000009</v>
      </c>
    </row>
    <row r="42" spans="1:7" x14ac:dyDescent="0.2">
      <c r="A42" s="36"/>
      <c r="B42" s="39"/>
      <c r="C42" s="6"/>
      <c r="D42" s="6"/>
      <c r="E42" s="4">
        <v>4</v>
      </c>
      <c r="F42" s="5" t="s">
        <v>47</v>
      </c>
      <c r="G42" s="4">
        <f>G41-0.2</f>
        <v>0.40000000000000008</v>
      </c>
    </row>
    <row r="43" spans="1:7" x14ac:dyDescent="0.2">
      <c r="A43" s="37"/>
      <c r="B43" s="40"/>
      <c r="C43" s="7"/>
      <c r="D43" s="7"/>
      <c r="E43" s="4">
        <v>5</v>
      </c>
      <c r="F43" s="5" t="s">
        <v>48</v>
      </c>
      <c r="G43" s="4">
        <v>0.2</v>
      </c>
    </row>
    <row r="44" spans="1:7" x14ac:dyDescent="0.2">
      <c r="A44" s="35">
        <v>9</v>
      </c>
      <c r="B44" s="38" t="s">
        <v>49</v>
      </c>
      <c r="C44" s="3">
        <v>1</v>
      </c>
      <c r="D44" s="3">
        <v>0.3</v>
      </c>
      <c r="E44" s="4">
        <v>1</v>
      </c>
      <c r="F44" s="5" t="s">
        <v>50</v>
      </c>
      <c r="G44" s="12">
        <v>1</v>
      </c>
    </row>
    <row r="45" spans="1:7" x14ac:dyDescent="0.2">
      <c r="A45" s="36"/>
      <c r="B45" s="39"/>
      <c r="C45" s="6"/>
      <c r="D45" s="6"/>
      <c r="E45" s="4">
        <v>2</v>
      </c>
      <c r="F45" s="5" t="s">
        <v>51</v>
      </c>
      <c r="G45" s="11">
        <f>G44-0.167</f>
        <v>0.83299999999999996</v>
      </c>
    </row>
    <row r="46" spans="1:7" x14ac:dyDescent="0.2">
      <c r="A46" s="36"/>
      <c r="B46" s="39"/>
      <c r="C46" s="6"/>
      <c r="D46" s="6"/>
      <c r="E46" s="4">
        <v>3</v>
      </c>
      <c r="F46" s="5" t="s">
        <v>52</v>
      </c>
      <c r="G46" s="11">
        <f>G45-0.167</f>
        <v>0.66599999999999993</v>
      </c>
    </row>
    <row r="47" spans="1:7" x14ac:dyDescent="0.2">
      <c r="A47" s="36"/>
      <c r="B47" s="39"/>
      <c r="C47" s="6"/>
      <c r="D47" s="6"/>
      <c r="E47" s="4">
        <v>4</v>
      </c>
      <c r="F47" s="5" t="s">
        <v>53</v>
      </c>
      <c r="G47" s="11">
        <f>G46-0.167</f>
        <v>0.49899999999999989</v>
      </c>
    </row>
    <row r="48" spans="1:7" x14ac:dyDescent="0.2">
      <c r="A48" s="36"/>
      <c r="B48" s="39"/>
      <c r="C48" s="6"/>
      <c r="D48" s="6"/>
      <c r="E48" s="4">
        <v>5</v>
      </c>
      <c r="F48" s="5" t="s">
        <v>54</v>
      </c>
      <c r="G48" s="11">
        <f>G47-0.167</f>
        <v>0.33199999999999985</v>
      </c>
    </row>
    <row r="49" spans="1:7" x14ac:dyDescent="0.2">
      <c r="A49" s="37"/>
      <c r="B49" s="40"/>
      <c r="C49" s="7"/>
      <c r="D49" s="7"/>
      <c r="E49" s="4">
        <v>6</v>
      </c>
      <c r="F49" s="5" t="s">
        <v>55</v>
      </c>
      <c r="G49" s="11">
        <f>G48-0.167</f>
        <v>0.16499999999999984</v>
      </c>
    </row>
    <row r="50" spans="1:7" x14ac:dyDescent="0.2">
      <c r="A50" s="35">
        <v>10</v>
      </c>
      <c r="B50" s="41" t="s">
        <v>56</v>
      </c>
      <c r="C50" s="8">
        <v>1</v>
      </c>
      <c r="D50" s="8">
        <v>0.3</v>
      </c>
      <c r="E50" s="4">
        <v>1</v>
      </c>
      <c r="F50" s="5" t="s">
        <v>57</v>
      </c>
      <c r="G50" s="4">
        <v>1</v>
      </c>
    </row>
    <row r="51" spans="1:7" x14ac:dyDescent="0.2">
      <c r="A51" s="36"/>
      <c r="B51" s="42"/>
      <c r="C51" s="9"/>
      <c r="D51" s="9"/>
      <c r="E51" s="4">
        <v>2</v>
      </c>
      <c r="F51" s="5" t="s">
        <v>58</v>
      </c>
      <c r="G51" s="11">
        <v>0.5</v>
      </c>
    </row>
    <row r="52" spans="1:7" x14ac:dyDescent="0.2">
      <c r="A52" s="36"/>
      <c r="B52" s="42"/>
      <c r="C52" s="9"/>
      <c r="D52" s="9"/>
      <c r="E52" s="4">
        <v>3</v>
      </c>
      <c r="F52" s="5" t="s">
        <v>59</v>
      </c>
      <c r="G52" s="11">
        <v>0.3</v>
      </c>
    </row>
    <row r="53" spans="1:7" x14ac:dyDescent="0.2">
      <c r="A53" s="37"/>
      <c r="B53" s="43"/>
      <c r="C53" s="10"/>
      <c r="D53" s="10"/>
      <c r="E53" s="4">
        <v>4</v>
      </c>
      <c r="F53" s="5" t="s">
        <v>60</v>
      </c>
      <c r="G53" s="11">
        <v>0.1</v>
      </c>
    </row>
    <row r="54" spans="1:7" x14ac:dyDescent="0.2">
      <c r="A54" s="35">
        <v>11</v>
      </c>
      <c r="B54" s="38" t="s">
        <v>61</v>
      </c>
      <c r="C54" s="3">
        <v>1</v>
      </c>
      <c r="D54" s="3">
        <v>0.3</v>
      </c>
      <c r="E54" s="4">
        <v>1</v>
      </c>
      <c r="F54" s="5" t="s">
        <v>62</v>
      </c>
      <c r="G54" s="4">
        <v>1</v>
      </c>
    </row>
    <row r="55" spans="1:7" x14ac:dyDescent="0.2">
      <c r="A55" s="36"/>
      <c r="B55" s="39"/>
      <c r="C55" s="6"/>
      <c r="D55" s="6"/>
      <c r="E55" s="4">
        <v>2</v>
      </c>
      <c r="F55" s="5" t="s">
        <v>63</v>
      </c>
      <c r="G55" s="11">
        <v>0.5</v>
      </c>
    </row>
    <row r="56" spans="1:7" x14ac:dyDescent="0.2">
      <c r="A56" s="37"/>
      <c r="B56" s="40"/>
      <c r="C56" s="7"/>
      <c r="D56" s="7"/>
      <c r="E56" s="4">
        <v>3</v>
      </c>
      <c r="F56" s="5" t="s">
        <v>28</v>
      </c>
      <c r="G56" s="11">
        <v>0.1</v>
      </c>
    </row>
    <row r="57" spans="1:7" x14ac:dyDescent="0.2">
      <c r="A57" s="35">
        <v>12</v>
      </c>
      <c r="B57" s="38" t="s">
        <v>64</v>
      </c>
      <c r="C57" s="3">
        <v>1</v>
      </c>
      <c r="D57" s="3">
        <v>0.3</v>
      </c>
      <c r="E57" s="4">
        <v>1</v>
      </c>
      <c r="F57" s="5" t="s">
        <v>65</v>
      </c>
      <c r="G57" s="4">
        <v>1</v>
      </c>
    </row>
    <row r="58" spans="1:7" x14ac:dyDescent="0.2">
      <c r="A58" s="36"/>
      <c r="B58" s="39"/>
      <c r="C58" s="6"/>
      <c r="D58" s="6"/>
      <c r="E58" s="4">
        <v>2</v>
      </c>
      <c r="F58" s="5" t="s">
        <v>66</v>
      </c>
      <c r="G58" s="4">
        <v>0.8</v>
      </c>
    </row>
    <row r="59" spans="1:7" x14ac:dyDescent="0.2">
      <c r="A59" s="36"/>
      <c r="B59" s="39"/>
      <c r="C59" s="6"/>
      <c r="D59" s="6"/>
      <c r="E59" s="4">
        <v>3</v>
      </c>
      <c r="F59" s="5" t="s">
        <v>67</v>
      </c>
      <c r="G59" s="4">
        <v>0.6</v>
      </c>
    </row>
    <row r="60" spans="1:7" x14ac:dyDescent="0.2">
      <c r="A60" s="36"/>
      <c r="B60" s="39"/>
      <c r="C60" s="6"/>
      <c r="D60" s="6"/>
      <c r="E60" s="4">
        <v>4</v>
      </c>
      <c r="F60" s="5" t="s">
        <v>68</v>
      </c>
      <c r="G60" s="4">
        <v>0.4</v>
      </c>
    </row>
    <row r="61" spans="1:7" x14ac:dyDescent="0.2">
      <c r="A61" s="37"/>
      <c r="B61" s="40"/>
      <c r="C61" s="7"/>
      <c r="D61" s="7"/>
      <c r="E61" s="4">
        <v>5</v>
      </c>
      <c r="F61" s="5" t="s">
        <v>69</v>
      </c>
      <c r="G61" s="4">
        <v>0.2</v>
      </c>
    </row>
    <row r="62" spans="1:7" ht="15.75" customHeight="1" x14ac:dyDescent="0.2">
      <c r="A62" s="35">
        <v>13</v>
      </c>
      <c r="B62" s="38" t="s">
        <v>27</v>
      </c>
      <c r="C62" s="3">
        <v>1</v>
      </c>
      <c r="D62" s="3">
        <v>0.2</v>
      </c>
      <c r="E62" s="4">
        <v>1</v>
      </c>
      <c r="F62" s="5" t="s">
        <v>28</v>
      </c>
      <c r="G62" s="4">
        <v>1</v>
      </c>
    </row>
    <row r="63" spans="1:7" x14ac:dyDescent="0.2">
      <c r="A63" s="37"/>
      <c r="B63" s="40"/>
      <c r="C63" s="7"/>
      <c r="D63" s="7"/>
      <c r="E63" s="4">
        <v>2</v>
      </c>
      <c r="F63" s="5" t="s">
        <v>29</v>
      </c>
      <c r="G63" s="11">
        <f>G62-0.5</f>
        <v>0.5</v>
      </c>
    </row>
    <row r="64" spans="1:7" ht="30" x14ac:dyDescent="0.2">
      <c r="A64" s="35">
        <v>14</v>
      </c>
      <c r="B64" s="41" t="s">
        <v>74</v>
      </c>
      <c r="C64" s="8">
        <v>1</v>
      </c>
      <c r="D64" s="8">
        <v>0.2</v>
      </c>
      <c r="E64" s="4">
        <v>1</v>
      </c>
      <c r="F64" s="5" t="s">
        <v>75</v>
      </c>
      <c r="G64" s="4">
        <v>1</v>
      </c>
    </row>
    <row r="65" spans="1:9" ht="30" x14ac:dyDescent="0.2">
      <c r="A65" s="36"/>
      <c r="B65" s="42"/>
      <c r="C65" s="9"/>
      <c r="D65" s="9"/>
      <c r="E65" s="4">
        <v>2</v>
      </c>
      <c r="F65" s="5" t="s">
        <v>76</v>
      </c>
      <c r="G65" s="11">
        <v>0.5</v>
      </c>
    </row>
    <row r="66" spans="1:9" ht="30" x14ac:dyDescent="0.2">
      <c r="A66" s="37"/>
      <c r="B66" s="43"/>
      <c r="C66" s="10"/>
      <c r="D66" s="10"/>
      <c r="E66" s="4">
        <v>3</v>
      </c>
      <c r="F66" s="5" t="s">
        <v>77</v>
      </c>
      <c r="G66" s="11">
        <v>0.1</v>
      </c>
    </row>
    <row r="67" spans="1:9" x14ac:dyDescent="0.2">
      <c r="A67" t="s">
        <v>91</v>
      </c>
      <c r="H67" s="19"/>
      <c r="I67" s="19"/>
    </row>
    <row r="69" spans="1:9" x14ac:dyDescent="0.2">
      <c r="A69" t="s">
        <v>85</v>
      </c>
    </row>
    <row r="70" spans="1:9" x14ac:dyDescent="0.2">
      <c r="A70" t="s">
        <v>92</v>
      </c>
    </row>
    <row r="71" spans="1:9" x14ac:dyDescent="0.2">
      <c r="A71" t="s">
        <v>93</v>
      </c>
    </row>
    <row r="72" spans="1:9" x14ac:dyDescent="0.2">
      <c r="A72" t="s">
        <v>104</v>
      </c>
    </row>
    <row r="73" spans="1:9" x14ac:dyDescent="0.2">
      <c r="A73" t="s">
        <v>103</v>
      </c>
    </row>
  </sheetData>
  <mergeCells count="29">
    <mergeCell ref="A17:A19"/>
    <mergeCell ref="B17:B19"/>
    <mergeCell ref="A28:A35"/>
    <mergeCell ref="B28:B35"/>
    <mergeCell ref="A36:A38"/>
    <mergeCell ref="B36:B38"/>
    <mergeCell ref="A20:A22"/>
    <mergeCell ref="B20:B22"/>
    <mergeCell ref="A23:A27"/>
    <mergeCell ref="B23:B27"/>
    <mergeCell ref="E2:F2"/>
    <mergeCell ref="A3:A9"/>
    <mergeCell ref="B3:B9"/>
    <mergeCell ref="A10:A16"/>
    <mergeCell ref="B10:B16"/>
    <mergeCell ref="A39:A43"/>
    <mergeCell ref="B39:B43"/>
    <mergeCell ref="A44:A49"/>
    <mergeCell ref="B64:B66"/>
    <mergeCell ref="A64:A66"/>
    <mergeCell ref="B62:B63"/>
    <mergeCell ref="A62:A63"/>
    <mergeCell ref="B44:B49"/>
    <mergeCell ref="A50:A53"/>
    <mergeCell ref="B50:B53"/>
    <mergeCell ref="A54:A56"/>
    <mergeCell ref="B54:B56"/>
    <mergeCell ref="A57:A61"/>
    <mergeCell ref="B57:B6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69A4-DDA5-438B-8691-A9114DCFFA3A}">
  <dimension ref="A1:J18"/>
  <sheetViews>
    <sheetView workbookViewId="0">
      <selection activeCell="A2" sqref="A2"/>
    </sheetView>
  </sheetViews>
  <sheetFormatPr defaultRowHeight="15" x14ac:dyDescent="0.2"/>
  <cols>
    <col min="1" max="1" width="5.0546875" customWidth="1"/>
    <col min="2" max="2" width="52.77734375" customWidth="1"/>
    <col min="7" max="7" width="11.58984375" customWidth="1"/>
    <col min="9" max="9" width="9.98828125" customWidth="1"/>
    <col min="10" max="10" width="64.984375" customWidth="1"/>
  </cols>
  <sheetData>
    <row r="1" spans="1:10" ht="30" x14ac:dyDescent="0.2">
      <c r="A1" s="13" t="s">
        <v>0</v>
      </c>
      <c r="B1" s="13" t="s">
        <v>79</v>
      </c>
      <c r="C1" s="13" t="s">
        <v>2</v>
      </c>
      <c r="D1" s="13" t="s">
        <v>80</v>
      </c>
      <c r="E1" s="13" t="s">
        <v>3</v>
      </c>
      <c r="F1" s="13" t="s">
        <v>80</v>
      </c>
      <c r="G1" s="13" t="s">
        <v>81</v>
      </c>
      <c r="H1" s="13" t="s">
        <v>82</v>
      </c>
      <c r="I1" s="13" t="s">
        <v>83</v>
      </c>
      <c r="J1" s="13" t="s">
        <v>84</v>
      </c>
    </row>
    <row r="2" spans="1:10" x14ac:dyDescent="0.2">
      <c r="A2" s="14">
        <v>1</v>
      </c>
      <c r="B2" s="14" t="s">
        <v>9</v>
      </c>
      <c r="C2" s="14">
        <v>1</v>
      </c>
      <c r="D2" s="15" t="s">
        <v>80</v>
      </c>
      <c r="E2" s="21">
        <v>0.5</v>
      </c>
      <c r="F2" s="15" t="s">
        <v>80</v>
      </c>
      <c r="G2" s="14">
        <v>0.5</v>
      </c>
      <c r="H2" s="16" t="s">
        <v>82</v>
      </c>
      <c r="I2" s="17">
        <f>C2*E2*G2</f>
        <v>0.25</v>
      </c>
      <c r="J2" s="5" t="s">
        <v>117</v>
      </c>
    </row>
    <row r="3" spans="1:10" x14ac:dyDescent="0.2">
      <c r="A3" s="14">
        <v>2</v>
      </c>
      <c r="B3" s="14" t="s">
        <v>19</v>
      </c>
      <c r="C3" s="14">
        <v>1</v>
      </c>
      <c r="D3" s="15" t="s">
        <v>80</v>
      </c>
      <c r="E3" s="21">
        <v>0.5</v>
      </c>
      <c r="F3" s="15" t="s">
        <v>80</v>
      </c>
      <c r="G3" s="14">
        <v>0.5</v>
      </c>
      <c r="H3" s="15" t="s">
        <v>82</v>
      </c>
      <c r="I3" s="17">
        <f t="shared" ref="I3:I15" si="0">C3*E3*G3</f>
        <v>0.25</v>
      </c>
      <c r="J3" s="14" t="s">
        <v>23</v>
      </c>
    </row>
    <row r="4" spans="1:10" x14ac:dyDescent="0.2">
      <c r="A4" s="14">
        <v>3</v>
      </c>
      <c r="B4" s="14" t="s">
        <v>78</v>
      </c>
      <c r="C4" s="14">
        <v>1</v>
      </c>
      <c r="D4" s="15" t="s">
        <v>80</v>
      </c>
      <c r="E4" s="21">
        <v>0.5</v>
      </c>
      <c r="F4" s="15" t="s">
        <v>80</v>
      </c>
      <c r="G4" s="14">
        <v>1</v>
      </c>
      <c r="H4" s="15" t="s">
        <v>82</v>
      </c>
      <c r="I4" s="17">
        <f t="shared" si="0"/>
        <v>0.5</v>
      </c>
      <c r="J4" s="14" t="s">
        <v>6</v>
      </c>
    </row>
    <row r="5" spans="1:10" x14ac:dyDescent="0.2">
      <c r="A5" s="14">
        <v>4</v>
      </c>
      <c r="B5" s="14" t="s">
        <v>90</v>
      </c>
      <c r="C5" s="14">
        <v>1</v>
      </c>
      <c r="D5" s="15" t="s">
        <v>80</v>
      </c>
      <c r="E5" s="21">
        <v>0.5</v>
      </c>
      <c r="F5" s="15" t="s">
        <v>80</v>
      </c>
      <c r="G5" s="14">
        <v>1</v>
      </c>
      <c r="H5" s="15" t="s">
        <v>82</v>
      </c>
      <c r="I5" s="17">
        <f t="shared" si="0"/>
        <v>0.5</v>
      </c>
      <c r="J5" s="5" t="s">
        <v>71</v>
      </c>
    </row>
    <row r="6" spans="1:10" ht="15.75" customHeight="1" x14ac:dyDescent="0.2">
      <c r="A6" s="14">
        <v>5</v>
      </c>
      <c r="B6" s="14" t="s">
        <v>13</v>
      </c>
      <c r="C6" s="14">
        <v>1</v>
      </c>
      <c r="D6" s="15" t="s">
        <v>80</v>
      </c>
      <c r="E6" s="21">
        <v>0.5</v>
      </c>
      <c r="F6" s="15" t="s">
        <v>80</v>
      </c>
      <c r="G6" s="14">
        <v>0.4</v>
      </c>
      <c r="H6" s="15" t="s">
        <v>82</v>
      </c>
      <c r="I6" s="17">
        <f t="shared" si="0"/>
        <v>0.2</v>
      </c>
      <c r="J6" s="14" t="s">
        <v>17</v>
      </c>
    </row>
    <row r="7" spans="1:10" x14ac:dyDescent="0.2">
      <c r="A7" s="14">
        <v>6</v>
      </c>
      <c r="B7" s="14" t="s">
        <v>30</v>
      </c>
      <c r="C7" s="14">
        <v>1</v>
      </c>
      <c r="D7" s="15" t="s">
        <v>80</v>
      </c>
      <c r="E7" s="21">
        <v>0.3</v>
      </c>
      <c r="F7" s="15" t="s">
        <v>80</v>
      </c>
      <c r="G7" s="14">
        <v>0.8</v>
      </c>
      <c r="H7" s="15" t="s">
        <v>82</v>
      </c>
      <c r="I7" s="17">
        <f t="shared" si="0"/>
        <v>0.24</v>
      </c>
      <c r="J7" s="14" t="s">
        <v>33</v>
      </c>
    </row>
    <row r="8" spans="1:10" x14ac:dyDescent="0.2">
      <c r="A8" s="14">
        <v>7</v>
      </c>
      <c r="B8" s="14" t="s">
        <v>39</v>
      </c>
      <c r="C8" s="14">
        <v>1</v>
      </c>
      <c r="D8" s="15" t="s">
        <v>80</v>
      </c>
      <c r="E8" s="21">
        <v>0.3</v>
      </c>
      <c r="F8" s="15" t="s">
        <v>80</v>
      </c>
      <c r="G8" s="14">
        <v>0.5</v>
      </c>
      <c r="H8" s="15" t="s">
        <v>82</v>
      </c>
      <c r="I8" s="17">
        <f t="shared" si="0"/>
        <v>0.15</v>
      </c>
      <c r="J8" s="14" t="s">
        <v>41</v>
      </c>
    </row>
    <row r="9" spans="1:10" x14ac:dyDescent="0.2">
      <c r="A9" s="14">
        <v>8</v>
      </c>
      <c r="B9" s="14" t="s">
        <v>43</v>
      </c>
      <c r="C9" s="14">
        <v>1</v>
      </c>
      <c r="D9" s="15" t="s">
        <v>80</v>
      </c>
      <c r="E9" s="21">
        <v>0.3</v>
      </c>
      <c r="F9" s="15" t="s">
        <v>80</v>
      </c>
      <c r="G9" s="14">
        <v>0.6</v>
      </c>
      <c r="H9" s="15" t="s">
        <v>82</v>
      </c>
      <c r="I9" s="17">
        <f t="shared" si="0"/>
        <v>0.18</v>
      </c>
      <c r="J9" s="14" t="s">
        <v>46</v>
      </c>
    </row>
    <row r="10" spans="1:10" x14ac:dyDescent="0.2">
      <c r="A10" s="14">
        <v>9</v>
      </c>
      <c r="B10" t="s">
        <v>49</v>
      </c>
      <c r="C10" s="14">
        <v>1</v>
      </c>
      <c r="D10" s="15" t="s">
        <v>80</v>
      </c>
      <c r="E10" s="21">
        <v>0.3</v>
      </c>
      <c r="F10" s="15" t="s">
        <v>80</v>
      </c>
      <c r="G10" s="14">
        <v>0.8</v>
      </c>
      <c r="H10" s="15" t="s">
        <v>82</v>
      </c>
      <c r="I10" s="17">
        <f t="shared" si="0"/>
        <v>0.24</v>
      </c>
      <c r="J10" s="14" t="s">
        <v>51</v>
      </c>
    </row>
    <row r="11" spans="1:10" x14ac:dyDescent="0.2">
      <c r="A11" s="14">
        <v>10</v>
      </c>
      <c r="B11" s="14" t="s">
        <v>56</v>
      </c>
      <c r="C11" s="14">
        <v>1</v>
      </c>
      <c r="D11" s="15" t="s">
        <v>80</v>
      </c>
      <c r="E11" s="21">
        <v>0.3</v>
      </c>
      <c r="F11" s="15" t="s">
        <v>80</v>
      </c>
      <c r="G11" s="14">
        <v>0.5</v>
      </c>
      <c r="H11" s="15" t="s">
        <v>82</v>
      </c>
      <c r="I11" s="17">
        <f t="shared" si="0"/>
        <v>0.15</v>
      </c>
      <c r="J11" s="14" t="s">
        <v>58</v>
      </c>
    </row>
    <row r="12" spans="1:10" x14ac:dyDescent="0.2">
      <c r="A12" s="14">
        <v>11</v>
      </c>
      <c r="B12" s="14" t="s">
        <v>61</v>
      </c>
      <c r="C12" s="14">
        <v>1</v>
      </c>
      <c r="D12" s="15" t="s">
        <v>80</v>
      </c>
      <c r="E12" s="21">
        <v>0.3</v>
      </c>
      <c r="F12" s="15" t="s">
        <v>80</v>
      </c>
      <c r="G12" s="14">
        <v>1</v>
      </c>
      <c r="H12" s="15" t="s">
        <v>82</v>
      </c>
      <c r="I12" s="17">
        <f t="shared" si="0"/>
        <v>0.3</v>
      </c>
      <c r="J12" s="14" t="s">
        <v>62</v>
      </c>
    </row>
    <row r="13" spans="1:10" x14ac:dyDescent="0.2">
      <c r="A13" s="14">
        <v>12</v>
      </c>
      <c r="B13" t="s">
        <v>64</v>
      </c>
      <c r="C13" s="14">
        <v>1</v>
      </c>
      <c r="D13" s="15" t="s">
        <v>80</v>
      </c>
      <c r="E13" s="21">
        <v>0.3</v>
      </c>
      <c r="F13" s="15" t="s">
        <v>80</v>
      </c>
      <c r="G13" s="14">
        <v>1</v>
      </c>
      <c r="H13" s="15" t="s">
        <v>82</v>
      </c>
      <c r="I13" s="17">
        <f t="shared" si="0"/>
        <v>0.3</v>
      </c>
      <c r="J13" s="14" t="s">
        <v>65</v>
      </c>
    </row>
    <row r="14" spans="1:10" x14ac:dyDescent="0.2">
      <c r="A14" s="14">
        <v>13</v>
      </c>
      <c r="B14" s="14" t="s">
        <v>27</v>
      </c>
      <c r="C14" s="14">
        <v>1</v>
      </c>
      <c r="D14" s="15" t="s">
        <v>80</v>
      </c>
      <c r="E14" s="21">
        <v>0.2</v>
      </c>
      <c r="F14" s="15" t="s">
        <v>80</v>
      </c>
      <c r="G14" s="14">
        <v>1</v>
      </c>
      <c r="H14" s="15" t="s">
        <v>82</v>
      </c>
      <c r="I14" s="17">
        <f t="shared" si="0"/>
        <v>0.2</v>
      </c>
      <c r="J14" s="14" t="s">
        <v>28</v>
      </c>
    </row>
    <row r="15" spans="1:10" x14ac:dyDescent="0.2">
      <c r="A15" s="14">
        <v>14</v>
      </c>
      <c r="B15" s="14" t="s">
        <v>74</v>
      </c>
      <c r="C15" s="14">
        <v>1</v>
      </c>
      <c r="D15" s="15" t="s">
        <v>80</v>
      </c>
      <c r="E15" s="21">
        <v>0.2</v>
      </c>
      <c r="F15" s="15" t="s">
        <v>80</v>
      </c>
      <c r="G15" s="14">
        <v>1</v>
      </c>
      <c r="H15" s="15" t="s">
        <v>82</v>
      </c>
      <c r="I15" s="17">
        <f t="shared" si="0"/>
        <v>0.2</v>
      </c>
      <c r="J15" s="14" t="s">
        <v>75</v>
      </c>
    </row>
    <row r="16" spans="1:10" x14ac:dyDescent="0.2">
      <c r="A16" s="46" t="s">
        <v>100</v>
      </c>
      <c r="B16" s="47"/>
      <c r="C16" s="47"/>
      <c r="D16" s="47"/>
      <c r="E16" s="47"/>
      <c r="F16" s="47"/>
      <c r="G16" s="47"/>
      <c r="H16" s="48"/>
      <c r="I16" s="22">
        <f>SUM(I2:I15)</f>
        <v>3.6599999999999997</v>
      </c>
      <c r="J16" s="18" t="str">
        <f>(IF(I16&lt;=2,"Sangat Miskin",IF(I16&lt;=3,"Miskin",IF(I16&lt;=3.8,"Rentan Miskin",IF(I16&gt;3.8,"Tidak Miskin")))))</f>
        <v>Rentan Miskin</v>
      </c>
    </row>
    <row r="17" spans="1:5" x14ac:dyDescent="0.2">
      <c r="A17" t="s">
        <v>87</v>
      </c>
    </row>
    <row r="18" spans="1:5" x14ac:dyDescent="0.2">
      <c r="E18" s="20"/>
    </row>
  </sheetData>
  <mergeCells count="1">
    <mergeCell ref="A16:H1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D4B6-16F4-437D-AA36-69FFC6F5F4C5}">
  <dimension ref="A1:J18"/>
  <sheetViews>
    <sheetView workbookViewId="0">
      <selection activeCell="G3" sqref="G3"/>
    </sheetView>
  </sheetViews>
  <sheetFormatPr defaultRowHeight="15" x14ac:dyDescent="0.2"/>
  <cols>
    <col min="1" max="1" width="5.0546875" customWidth="1"/>
    <col min="2" max="2" width="52.77734375" customWidth="1"/>
    <col min="7" max="7" width="11.58984375" customWidth="1"/>
    <col min="9" max="9" width="9.98828125" customWidth="1"/>
    <col min="10" max="10" width="64.984375" customWidth="1"/>
  </cols>
  <sheetData>
    <row r="1" spans="1:10" ht="30" x14ac:dyDescent="0.2">
      <c r="A1" s="13" t="s">
        <v>0</v>
      </c>
      <c r="B1" s="13" t="s">
        <v>79</v>
      </c>
      <c r="C1" s="13" t="s">
        <v>2</v>
      </c>
      <c r="D1" s="13" t="s">
        <v>80</v>
      </c>
      <c r="E1" s="13" t="s">
        <v>3</v>
      </c>
      <c r="F1" s="13" t="s">
        <v>80</v>
      </c>
      <c r="G1" s="13" t="s">
        <v>81</v>
      </c>
      <c r="H1" s="13" t="s">
        <v>82</v>
      </c>
      <c r="I1" s="13" t="s">
        <v>83</v>
      </c>
      <c r="J1" s="13" t="s">
        <v>84</v>
      </c>
    </row>
    <row r="2" spans="1:10" x14ac:dyDescent="0.2">
      <c r="A2" s="14">
        <v>1</v>
      </c>
      <c r="B2" s="14" t="s">
        <v>9</v>
      </c>
      <c r="C2" s="14">
        <v>1</v>
      </c>
      <c r="D2" s="15" t="s">
        <v>80</v>
      </c>
      <c r="E2" s="21">
        <v>0.5</v>
      </c>
      <c r="F2" s="15" t="s">
        <v>80</v>
      </c>
      <c r="G2" s="14">
        <v>0.3</v>
      </c>
      <c r="H2" s="16" t="s">
        <v>82</v>
      </c>
      <c r="I2" s="17">
        <f>C2*E2*G2</f>
        <v>0.15</v>
      </c>
      <c r="J2" s="14" t="s">
        <v>10</v>
      </c>
    </row>
    <row r="3" spans="1:10" x14ac:dyDescent="0.2">
      <c r="A3" s="14">
        <v>2</v>
      </c>
      <c r="B3" s="14" t="s">
        <v>19</v>
      </c>
      <c r="C3" s="14">
        <v>1</v>
      </c>
      <c r="D3" s="15" t="s">
        <v>80</v>
      </c>
      <c r="E3" s="21">
        <v>0.5</v>
      </c>
      <c r="F3" s="15" t="s">
        <v>80</v>
      </c>
      <c r="G3" s="14">
        <v>0.5</v>
      </c>
      <c r="H3" s="15" t="s">
        <v>82</v>
      </c>
      <c r="I3" s="17">
        <f t="shared" ref="I3:I15" si="0">C3*E3*G3</f>
        <v>0.25</v>
      </c>
      <c r="J3" s="14" t="s">
        <v>23</v>
      </c>
    </row>
    <row r="4" spans="1:10" x14ac:dyDescent="0.2">
      <c r="A4" s="14">
        <v>3</v>
      </c>
      <c r="B4" s="14" t="s">
        <v>78</v>
      </c>
      <c r="C4" s="14">
        <v>1</v>
      </c>
      <c r="D4" s="15" t="s">
        <v>80</v>
      </c>
      <c r="E4" s="21">
        <v>0.5</v>
      </c>
      <c r="F4" s="15" t="s">
        <v>80</v>
      </c>
      <c r="G4" s="14">
        <v>1</v>
      </c>
      <c r="H4" s="15" t="s">
        <v>82</v>
      </c>
      <c r="I4" s="17">
        <f t="shared" si="0"/>
        <v>0.5</v>
      </c>
      <c r="J4" s="14" t="s">
        <v>6</v>
      </c>
    </row>
    <row r="5" spans="1:10" x14ac:dyDescent="0.2">
      <c r="A5" s="14">
        <v>4</v>
      </c>
      <c r="B5" s="14" t="s">
        <v>90</v>
      </c>
      <c r="C5" s="14">
        <v>1</v>
      </c>
      <c r="D5" s="15" t="s">
        <v>80</v>
      </c>
      <c r="E5" s="21">
        <v>0.5</v>
      </c>
      <c r="F5" s="15" t="s">
        <v>80</v>
      </c>
      <c r="G5" s="14">
        <v>0.5</v>
      </c>
      <c r="H5" s="15" t="s">
        <v>82</v>
      </c>
      <c r="I5" s="17">
        <f t="shared" si="0"/>
        <v>0.25</v>
      </c>
      <c r="J5" s="14" t="s">
        <v>72</v>
      </c>
    </row>
    <row r="6" spans="1:10" ht="15.75" customHeight="1" x14ac:dyDescent="0.2">
      <c r="A6" s="14">
        <v>5</v>
      </c>
      <c r="B6" s="14" t="s">
        <v>13</v>
      </c>
      <c r="C6" s="14">
        <v>1</v>
      </c>
      <c r="D6" s="15" t="s">
        <v>80</v>
      </c>
      <c r="E6" s="21">
        <v>0.5</v>
      </c>
      <c r="F6" s="15" t="s">
        <v>80</v>
      </c>
      <c r="G6" s="14">
        <v>0.4</v>
      </c>
      <c r="H6" s="15" t="s">
        <v>82</v>
      </c>
      <c r="I6" s="17">
        <f t="shared" si="0"/>
        <v>0.2</v>
      </c>
      <c r="J6" s="14" t="s">
        <v>17</v>
      </c>
    </row>
    <row r="7" spans="1:10" x14ac:dyDescent="0.2">
      <c r="A7" s="14">
        <v>6</v>
      </c>
      <c r="B7" s="14" t="s">
        <v>30</v>
      </c>
      <c r="C7" s="14">
        <v>1</v>
      </c>
      <c r="D7" s="15" t="s">
        <v>80</v>
      </c>
      <c r="E7" s="21">
        <v>0.3</v>
      </c>
      <c r="F7" s="15" t="s">
        <v>80</v>
      </c>
      <c r="G7" s="14">
        <v>0.8</v>
      </c>
      <c r="H7" s="15" t="s">
        <v>82</v>
      </c>
      <c r="I7" s="17">
        <f t="shared" si="0"/>
        <v>0.24</v>
      </c>
      <c r="J7" s="14" t="s">
        <v>33</v>
      </c>
    </row>
    <row r="8" spans="1:10" x14ac:dyDescent="0.2">
      <c r="A8" s="14">
        <v>7</v>
      </c>
      <c r="B8" s="14" t="s">
        <v>39</v>
      </c>
      <c r="C8" s="14">
        <v>1</v>
      </c>
      <c r="D8" s="15" t="s">
        <v>80</v>
      </c>
      <c r="E8" s="21">
        <v>0.3</v>
      </c>
      <c r="F8" s="15" t="s">
        <v>80</v>
      </c>
      <c r="G8" s="14">
        <v>0.5</v>
      </c>
      <c r="H8" s="15" t="s">
        <v>82</v>
      </c>
      <c r="I8" s="17">
        <f t="shared" si="0"/>
        <v>0.15</v>
      </c>
      <c r="J8" s="14" t="s">
        <v>41</v>
      </c>
    </row>
    <row r="9" spans="1:10" x14ac:dyDescent="0.2">
      <c r="A9" s="14">
        <v>8</v>
      </c>
      <c r="B9" s="14" t="s">
        <v>43</v>
      </c>
      <c r="C9" s="14">
        <v>1</v>
      </c>
      <c r="D9" s="15" t="s">
        <v>80</v>
      </c>
      <c r="E9" s="21">
        <v>0.3</v>
      </c>
      <c r="F9" s="15" t="s">
        <v>80</v>
      </c>
      <c r="G9" s="14">
        <v>0.4</v>
      </c>
      <c r="H9" s="15" t="s">
        <v>82</v>
      </c>
      <c r="I9" s="17">
        <f t="shared" si="0"/>
        <v>0.12</v>
      </c>
      <c r="J9" s="14" t="s">
        <v>47</v>
      </c>
    </row>
    <row r="10" spans="1:10" x14ac:dyDescent="0.2">
      <c r="A10" s="14">
        <v>9</v>
      </c>
      <c r="B10" t="s">
        <v>49</v>
      </c>
      <c r="C10" s="14">
        <v>1</v>
      </c>
      <c r="D10" s="15" t="s">
        <v>80</v>
      </c>
      <c r="E10" s="21">
        <v>0.3</v>
      </c>
      <c r="F10" s="15" t="s">
        <v>80</v>
      </c>
      <c r="G10" s="14">
        <v>0.5</v>
      </c>
      <c r="H10" s="15" t="s">
        <v>82</v>
      </c>
      <c r="I10" s="17">
        <f t="shared" si="0"/>
        <v>0.15</v>
      </c>
      <c r="J10" s="14" t="s">
        <v>53</v>
      </c>
    </row>
    <row r="11" spans="1:10" x14ac:dyDescent="0.2">
      <c r="A11" s="14">
        <v>10</v>
      </c>
      <c r="B11" s="14" t="s">
        <v>56</v>
      </c>
      <c r="C11" s="14">
        <v>1</v>
      </c>
      <c r="D11" s="15" t="s">
        <v>80</v>
      </c>
      <c r="E11" s="21">
        <v>0.3</v>
      </c>
      <c r="F11" s="15" t="s">
        <v>80</v>
      </c>
      <c r="G11" s="14">
        <v>0.3</v>
      </c>
      <c r="H11" s="15" t="s">
        <v>82</v>
      </c>
      <c r="I11" s="17">
        <f t="shared" si="0"/>
        <v>0.09</v>
      </c>
      <c r="J11" s="14" t="s">
        <v>59</v>
      </c>
    </row>
    <row r="12" spans="1:10" x14ac:dyDescent="0.2">
      <c r="A12" s="14">
        <v>11</v>
      </c>
      <c r="B12" s="14" t="s">
        <v>61</v>
      </c>
      <c r="C12" s="14">
        <v>1</v>
      </c>
      <c r="D12" s="15" t="s">
        <v>80</v>
      </c>
      <c r="E12" s="21">
        <v>0.3</v>
      </c>
      <c r="F12" s="15" t="s">
        <v>80</v>
      </c>
      <c r="G12" s="14">
        <v>1</v>
      </c>
      <c r="H12" s="15" t="s">
        <v>82</v>
      </c>
      <c r="I12" s="17">
        <f t="shared" si="0"/>
        <v>0.3</v>
      </c>
      <c r="J12" s="14" t="s">
        <v>62</v>
      </c>
    </row>
    <row r="13" spans="1:10" x14ac:dyDescent="0.2">
      <c r="A13" s="14">
        <v>12</v>
      </c>
      <c r="B13" t="s">
        <v>64</v>
      </c>
      <c r="C13" s="14">
        <v>1</v>
      </c>
      <c r="D13" s="15" t="s">
        <v>80</v>
      </c>
      <c r="E13" s="21">
        <v>0.3</v>
      </c>
      <c r="F13" s="15" t="s">
        <v>80</v>
      </c>
      <c r="G13" s="14">
        <v>0.8</v>
      </c>
      <c r="H13" s="15" t="s">
        <v>82</v>
      </c>
      <c r="I13" s="17">
        <f t="shared" si="0"/>
        <v>0.24</v>
      </c>
      <c r="J13" t="s">
        <v>66</v>
      </c>
    </row>
    <row r="14" spans="1:10" x14ac:dyDescent="0.2">
      <c r="A14" s="14">
        <v>13</v>
      </c>
      <c r="B14" s="14" t="s">
        <v>27</v>
      </c>
      <c r="C14" s="14">
        <v>1</v>
      </c>
      <c r="D14" s="15" t="s">
        <v>80</v>
      </c>
      <c r="E14" s="21">
        <v>0.2</v>
      </c>
      <c r="F14" s="15" t="s">
        <v>80</v>
      </c>
      <c r="G14" s="14">
        <v>1</v>
      </c>
      <c r="H14" s="15" t="s">
        <v>82</v>
      </c>
      <c r="I14" s="17">
        <f t="shared" si="0"/>
        <v>0.2</v>
      </c>
      <c r="J14" s="14" t="s">
        <v>28</v>
      </c>
    </row>
    <row r="15" spans="1:10" x14ac:dyDescent="0.2">
      <c r="A15" s="14">
        <v>14</v>
      </c>
      <c r="B15" s="14" t="s">
        <v>74</v>
      </c>
      <c r="C15" s="14">
        <v>1</v>
      </c>
      <c r="D15" s="15" t="s">
        <v>80</v>
      </c>
      <c r="E15" s="21">
        <v>0.2</v>
      </c>
      <c r="F15" s="15" t="s">
        <v>80</v>
      </c>
      <c r="G15" s="14">
        <v>0.5</v>
      </c>
      <c r="H15" s="15" t="s">
        <v>82</v>
      </c>
      <c r="I15" s="17">
        <f t="shared" si="0"/>
        <v>0.1</v>
      </c>
      <c r="J15" s="14" t="s">
        <v>76</v>
      </c>
    </row>
    <row r="16" spans="1:10" x14ac:dyDescent="0.2">
      <c r="A16" s="46" t="s">
        <v>100</v>
      </c>
      <c r="B16" s="46"/>
      <c r="C16" s="46"/>
      <c r="D16" s="46"/>
      <c r="E16" s="46"/>
      <c r="F16" s="46"/>
      <c r="G16" s="46"/>
      <c r="H16" s="49"/>
      <c r="I16" s="22">
        <f>SUM(I2:I15)</f>
        <v>2.94</v>
      </c>
      <c r="J16" s="18" t="str">
        <f>(IF(I16&lt;=2,"Sangat Miskin",IF(I16&lt;=3,"Miskin",IF(I16&lt;=3.8,"Rentan Miskin",IF(I16&gt;3.8,"Tidak Miskin")))))</f>
        <v>Miskin</v>
      </c>
    </row>
    <row r="17" spans="1:5" x14ac:dyDescent="0.2">
      <c r="A17" t="s">
        <v>88</v>
      </c>
    </row>
    <row r="18" spans="1:5" x14ac:dyDescent="0.2">
      <c r="E18" s="20"/>
    </row>
  </sheetData>
  <mergeCells count="1">
    <mergeCell ref="A16:H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250A-AAFD-43B1-9DF9-411F737F03A8}">
  <dimension ref="A1:J18"/>
  <sheetViews>
    <sheetView workbookViewId="0">
      <selection activeCell="J10" sqref="J10"/>
    </sheetView>
  </sheetViews>
  <sheetFormatPr defaultRowHeight="15" x14ac:dyDescent="0.2"/>
  <cols>
    <col min="1" max="1" width="5.0546875" customWidth="1"/>
    <col min="2" max="2" width="52.77734375" customWidth="1"/>
    <col min="7" max="7" width="11.58984375" customWidth="1"/>
    <col min="9" max="9" width="9.98828125" customWidth="1"/>
    <col min="10" max="10" width="64.984375" customWidth="1"/>
  </cols>
  <sheetData>
    <row r="1" spans="1:10" ht="30" x14ac:dyDescent="0.2">
      <c r="A1" s="13" t="s">
        <v>0</v>
      </c>
      <c r="B1" s="13" t="s">
        <v>79</v>
      </c>
      <c r="C1" s="13" t="s">
        <v>2</v>
      </c>
      <c r="D1" s="13" t="s">
        <v>80</v>
      </c>
      <c r="E1" s="13" t="s">
        <v>3</v>
      </c>
      <c r="F1" s="13" t="s">
        <v>80</v>
      </c>
      <c r="G1" s="13" t="s">
        <v>81</v>
      </c>
      <c r="H1" s="13" t="s">
        <v>82</v>
      </c>
      <c r="I1" s="13" t="s">
        <v>83</v>
      </c>
      <c r="J1" s="13" t="s">
        <v>84</v>
      </c>
    </row>
    <row r="2" spans="1:10" x14ac:dyDescent="0.2">
      <c r="A2" s="14">
        <v>1</v>
      </c>
      <c r="B2" s="14" t="s">
        <v>9</v>
      </c>
      <c r="C2" s="14">
        <v>1</v>
      </c>
      <c r="D2" s="15" t="s">
        <v>80</v>
      </c>
      <c r="E2" s="21">
        <v>0.5</v>
      </c>
      <c r="F2" s="15" t="s">
        <v>80</v>
      </c>
      <c r="G2" s="14">
        <v>0.2</v>
      </c>
      <c r="H2" s="16" t="s">
        <v>82</v>
      </c>
      <c r="I2" s="17">
        <f>C2*E2*G2</f>
        <v>0.1</v>
      </c>
      <c r="J2" s="14" t="s">
        <v>11</v>
      </c>
    </row>
    <row r="3" spans="1:10" x14ac:dyDescent="0.2">
      <c r="A3" s="14">
        <v>2</v>
      </c>
      <c r="B3" s="14" t="s">
        <v>19</v>
      </c>
      <c r="C3" s="14">
        <v>1</v>
      </c>
      <c r="D3" s="15" t="s">
        <v>80</v>
      </c>
      <c r="E3" s="21">
        <v>0.5</v>
      </c>
      <c r="F3" s="15" t="s">
        <v>80</v>
      </c>
      <c r="G3" s="14">
        <v>0.2</v>
      </c>
      <c r="H3" s="15" t="s">
        <v>82</v>
      </c>
      <c r="I3" s="17">
        <f t="shared" ref="I3:I15" si="0">C3*E3*G3</f>
        <v>0.1</v>
      </c>
      <c r="J3" s="14" t="s">
        <v>25</v>
      </c>
    </row>
    <row r="4" spans="1:10" x14ac:dyDescent="0.2">
      <c r="A4" s="14">
        <v>3</v>
      </c>
      <c r="B4" s="14" t="s">
        <v>78</v>
      </c>
      <c r="C4" s="14">
        <v>1</v>
      </c>
      <c r="D4" s="15" t="s">
        <v>80</v>
      </c>
      <c r="E4" s="21">
        <v>0.5</v>
      </c>
      <c r="F4" s="15" t="s">
        <v>80</v>
      </c>
      <c r="G4" s="14">
        <v>1</v>
      </c>
      <c r="H4" s="15" t="s">
        <v>82</v>
      </c>
      <c r="I4" s="17">
        <f t="shared" si="0"/>
        <v>0.5</v>
      </c>
      <c r="J4" s="14" t="s">
        <v>6</v>
      </c>
    </row>
    <row r="5" spans="1:10" x14ac:dyDescent="0.2">
      <c r="A5" s="14">
        <v>4</v>
      </c>
      <c r="B5" s="14" t="s">
        <v>90</v>
      </c>
      <c r="C5" s="14">
        <v>1</v>
      </c>
      <c r="D5" s="15" t="s">
        <v>80</v>
      </c>
      <c r="E5" s="21">
        <v>0.5</v>
      </c>
      <c r="F5" s="15" t="s">
        <v>80</v>
      </c>
      <c r="G5" s="14">
        <v>0.1</v>
      </c>
      <c r="H5" s="15" t="s">
        <v>82</v>
      </c>
      <c r="I5" s="17">
        <f t="shared" si="0"/>
        <v>0.05</v>
      </c>
      <c r="J5" s="14" t="s">
        <v>73</v>
      </c>
    </row>
    <row r="6" spans="1:10" ht="15.75" customHeight="1" x14ac:dyDescent="0.2">
      <c r="A6" s="14">
        <v>5</v>
      </c>
      <c r="B6" s="14" t="s">
        <v>13</v>
      </c>
      <c r="C6" s="14">
        <v>1</v>
      </c>
      <c r="D6" s="15" t="s">
        <v>80</v>
      </c>
      <c r="E6" s="21">
        <v>0.5</v>
      </c>
      <c r="F6" s="15" t="s">
        <v>80</v>
      </c>
      <c r="G6" s="14">
        <v>0.4</v>
      </c>
      <c r="H6" s="15" t="s">
        <v>82</v>
      </c>
      <c r="I6" s="17">
        <f t="shared" si="0"/>
        <v>0.2</v>
      </c>
      <c r="J6" s="14" t="s">
        <v>17</v>
      </c>
    </row>
    <row r="7" spans="1:10" x14ac:dyDescent="0.2">
      <c r="A7" s="14">
        <v>6</v>
      </c>
      <c r="B7" s="14" t="s">
        <v>30</v>
      </c>
      <c r="C7" s="14">
        <v>1</v>
      </c>
      <c r="D7" s="15" t="s">
        <v>80</v>
      </c>
      <c r="E7" s="21">
        <v>0.3</v>
      </c>
      <c r="F7" s="15" t="s">
        <v>80</v>
      </c>
      <c r="G7" s="14">
        <v>0.5</v>
      </c>
      <c r="H7" s="15" t="s">
        <v>82</v>
      </c>
      <c r="I7" s="17">
        <f t="shared" si="0"/>
        <v>0.15</v>
      </c>
      <c r="J7" s="14" t="s">
        <v>35</v>
      </c>
    </row>
    <row r="8" spans="1:10" x14ac:dyDescent="0.2">
      <c r="A8" s="14">
        <v>7</v>
      </c>
      <c r="B8" s="14" t="s">
        <v>39</v>
      </c>
      <c r="C8" s="14">
        <v>1</v>
      </c>
      <c r="D8" s="15" t="s">
        <v>80</v>
      </c>
      <c r="E8" s="21">
        <v>0.3</v>
      </c>
      <c r="F8" s="15" t="s">
        <v>80</v>
      </c>
      <c r="G8" s="14">
        <v>0.1</v>
      </c>
      <c r="H8" s="15" t="s">
        <v>82</v>
      </c>
      <c r="I8" s="17">
        <f t="shared" si="0"/>
        <v>0.03</v>
      </c>
      <c r="J8" s="14" t="s">
        <v>42</v>
      </c>
    </row>
    <row r="9" spans="1:10" x14ac:dyDescent="0.2">
      <c r="A9" s="14">
        <v>8</v>
      </c>
      <c r="B9" s="14" t="s">
        <v>43</v>
      </c>
      <c r="C9" s="14">
        <v>1</v>
      </c>
      <c r="D9" s="15" t="s">
        <v>80</v>
      </c>
      <c r="E9" s="21">
        <v>0.3</v>
      </c>
      <c r="F9" s="15" t="s">
        <v>80</v>
      </c>
      <c r="G9" s="14">
        <v>0.4</v>
      </c>
      <c r="H9" s="15" t="s">
        <v>82</v>
      </c>
      <c r="I9" s="17">
        <f t="shared" si="0"/>
        <v>0.12</v>
      </c>
      <c r="J9" s="14" t="s">
        <v>47</v>
      </c>
    </row>
    <row r="10" spans="1:10" x14ac:dyDescent="0.2">
      <c r="A10" s="14">
        <v>9</v>
      </c>
      <c r="B10" t="s">
        <v>49</v>
      </c>
      <c r="C10" s="14">
        <v>1</v>
      </c>
      <c r="D10" s="15" t="s">
        <v>80</v>
      </c>
      <c r="E10" s="21">
        <v>0.3</v>
      </c>
      <c r="F10" s="15" t="s">
        <v>80</v>
      </c>
      <c r="G10" s="14">
        <v>0.5</v>
      </c>
      <c r="H10" s="15" t="s">
        <v>82</v>
      </c>
      <c r="I10" s="17">
        <f t="shared" si="0"/>
        <v>0.15</v>
      </c>
      <c r="J10" s="5" t="s">
        <v>53</v>
      </c>
    </row>
    <row r="11" spans="1:10" x14ac:dyDescent="0.2">
      <c r="A11" s="14">
        <v>10</v>
      </c>
      <c r="B11" s="14" t="s">
        <v>56</v>
      </c>
      <c r="C11" s="14">
        <v>1</v>
      </c>
      <c r="D11" s="15" t="s">
        <v>80</v>
      </c>
      <c r="E11" s="21">
        <v>0.3</v>
      </c>
      <c r="F11" s="15" t="s">
        <v>80</v>
      </c>
      <c r="G11" s="14">
        <v>0.3</v>
      </c>
      <c r="H11" s="15" t="s">
        <v>82</v>
      </c>
      <c r="I11" s="17">
        <f t="shared" si="0"/>
        <v>0.09</v>
      </c>
      <c r="J11" s="14" t="s">
        <v>59</v>
      </c>
    </row>
    <row r="12" spans="1:10" x14ac:dyDescent="0.2">
      <c r="A12" s="14">
        <v>11</v>
      </c>
      <c r="B12" s="14" t="s">
        <v>61</v>
      </c>
      <c r="C12" s="14">
        <v>1</v>
      </c>
      <c r="D12" s="15" t="s">
        <v>80</v>
      </c>
      <c r="E12" s="21">
        <v>0.3</v>
      </c>
      <c r="F12" s="15" t="s">
        <v>80</v>
      </c>
      <c r="G12" s="14">
        <v>0.5</v>
      </c>
      <c r="H12" s="15" t="s">
        <v>82</v>
      </c>
      <c r="I12" s="17">
        <f t="shared" si="0"/>
        <v>0.15</v>
      </c>
      <c r="J12" s="14" t="s">
        <v>63</v>
      </c>
    </row>
    <row r="13" spans="1:10" x14ac:dyDescent="0.2">
      <c r="A13" s="14">
        <v>12</v>
      </c>
      <c r="B13" t="s">
        <v>64</v>
      </c>
      <c r="C13" s="14">
        <v>1</v>
      </c>
      <c r="D13" s="15" t="s">
        <v>80</v>
      </c>
      <c r="E13" s="21">
        <v>0.3</v>
      </c>
      <c r="F13" s="15" t="s">
        <v>80</v>
      </c>
      <c r="G13" s="14">
        <v>0.8</v>
      </c>
      <c r="H13" s="15" t="s">
        <v>82</v>
      </c>
      <c r="I13" s="17">
        <f t="shared" si="0"/>
        <v>0.24</v>
      </c>
      <c r="J13" t="s">
        <v>66</v>
      </c>
    </row>
    <row r="14" spans="1:10" x14ac:dyDescent="0.2">
      <c r="A14" s="14">
        <v>13</v>
      </c>
      <c r="B14" s="14" t="s">
        <v>27</v>
      </c>
      <c r="C14" s="14">
        <v>1</v>
      </c>
      <c r="D14" s="15" t="s">
        <v>80</v>
      </c>
      <c r="E14" s="21">
        <v>0.2</v>
      </c>
      <c r="F14" s="15" t="s">
        <v>80</v>
      </c>
      <c r="G14" s="14">
        <v>0.5</v>
      </c>
      <c r="H14" s="15" t="s">
        <v>82</v>
      </c>
      <c r="I14" s="17">
        <f t="shared" si="0"/>
        <v>0.1</v>
      </c>
      <c r="J14" s="14" t="s">
        <v>86</v>
      </c>
    </row>
    <row r="15" spans="1:10" x14ac:dyDescent="0.2">
      <c r="A15" s="14">
        <v>14</v>
      </c>
      <c r="B15" s="14" t="s">
        <v>74</v>
      </c>
      <c r="C15" s="14">
        <v>1</v>
      </c>
      <c r="D15" s="15" t="s">
        <v>80</v>
      </c>
      <c r="E15" s="21">
        <v>0.2</v>
      </c>
      <c r="F15" s="15" t="s">
        <v>80</v>
      </c>
      <c r="G15" s="14">
        <v>0.1</v>
      </c>
      <c r="H15" s="15" t="s">
        <v>82</v>
      </c>
      <c r="I15" s="17">
        <f t="shared" si="0"/>
        <v>2.0000000000000004E-2</v>
      </c>
      <c r="J15" s="14" t="s">
        <v>77</v>
      </c>
    </row>
    <row r="16" spans="1:10" x14ac:dyDescent="0.2">
      <c r="A16" s="46" t="s">
        <v>100</v>
      </c>
      <c r="B16" s="46"/>
      <c r="C16" s="46"/>
      <c r="D16" s="46"/>
      <c r="E16" s="46"/>
      <c r="F16" s="46"/>
      <c r="G16" s="46"/>
      <c r="H16" s="49"/>
      <c r="I16" s="22">
        <f>SUM(I2:I15)</f>
        <v>2</v>
      </c>
      <c r="J16" s="18" t="str">
        <f>(IF(I16&lt;=2,"Sangat Miskin",IF(I16&lt;=3,"Miskin",IF(I16&lt;=3.8,"Rentan Miskin",IF(I16&gt;3.8,"Tidak Miskin")))))</f>
        <v>Sangat Miskin</v>
      </c>
    </row>
    <row r="17" spans="1:5" x14ac:dyDescent="0.2">
      <c r="A17" t="s">
        <v>89</v>
      </c>
    </row>
    <row r="18" spans="1:5" x14ac:dyDescent="0.2">
      <c r="E18" s="20"/>
    </row>
  </sheetData>
  <mergeCells count="1">
    <mergeCell ref="A16:H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71648-5FFD-4DDB-BC0A-D51FF691D39D}">
  <dimension ref="A1:U25"/>
  <sheetViews>
    <sheetView workbookViewId="0">
      <selection activeCell="S3" sqref="S3:U16"/>
    </sheetView>
  </sheetViews>
  <sheetFormatPr defaultRowHeight="15" x14ac:dyDescent="0.2"/>
  <cols>
    <col min="1" max="1" width="20.46875" customWidth="1"/>
    <col min="4" max="4" width="12.328125" bestFit="1" customWidth="1"/>
    <col min="20" max="20" width="40.5703125" customWidth="1"/>
    <col min="21" max="21" width="20.58984375" customWidth="1"/>
  </cols>
  <sheetData>
    <row r="1" spans="1:21" ht="15.75" thickBot="1" x14ac:dyDescent="0.25">
      <c r="A1" s="18" t="s">
        <v>101</v>
      </c>
      <c r="B1" s="18" t="s">
        <v>102</v>
      </c>
    </row>
    <row r="2" spans="1:21" ht="16.5" thickBot="1" x14ac:dyDescent="0.25">
      <c r="A2" s="14" t="s">
        <v>94</v>
      </c>
      <c r="B2" s="23">
        <v>4.8000000000000001E-2</v>
      </c>
      <c r="S2" s="25" t="s">
        <v>0</v>
      </c>
      <c r="T2" s="25" t="s">
        <v>79</v>
      </c>
      <c r="U2" s="25" t="s">
        <v>111</v>
      </c>
    </row>
    <row r="3" spans="1:21" ht="16.5" thickBot="1" x14ac:dyDescent="0.25">
      <c r="A3" s="14" t="s">
        <v>95</v>
      </c>
      <c r="B3" s="23">
        <v>9.5000000000000001E-2</v>
      </c>
      <c r="S3" s="26">
        <v>1</v>
      </c>
      <c r="T3" s="27" t="s">
        <v>9</v>
      </c>
      <c r="U3" s="28" t="s">
        <v>112</v>
      </c>
    </row>
    <row r="4" spans="1:21" ht="16.5" thickBot="1" x14ac:dyDescent="0.25">
      <c r="A4" s="14" t="s">
        <v>96</v>
      </c>
      <c r="B4" s="23">
        <v>0.14299999999999999</v>
      </c>
      <c r="S4" s="26">
        <v>2</v>
      </c>
      <c r="T4" s="27" t="s">
        <v>19</v>
      </c>
      <c r="U4" s="28" t="s">
        <v>112</v>
      </c>
    </row>
    <row r="5" spans="1:21" ht="16.5" thickBot="1" x14ac:dyDescent="0.25">
      <c r="A5" s="14" t="s">
        <v>97</v>
      </c>
      <c r="B5" s="23">
        <v>0.19</v>
      </c>
      <c r="S5" s="26">
        <v>3</v>
      </c>
      <c r="T5" s="27" t="s">
        <v>78</v>
      </c>
      <c r="U5" s="28" t="s">
        <v>112</v>
      </c>
    </row>
    <row r="6" spans="1:21" ht="16.5" thickBot="1" x14ac:dyDescent="0.25">
      <c r="A6" s="14" t="s">
        <v>98</v>
      </c>
      <c r="B6" s="23">
        <v>0.23799999999999999</v>
      </c>
      <c r="S6" s="26">
        <v>4</v>
      </c>
      <c r="T6" s="27" t="s">
        <v>90</v>
      </c>
      <c r="U6" s="28" t="s">
        <v>112</v>
      </c>
    </row>
    <row r="7" spans="1:21" ht="16.5" thickBot="1" x14ac:dyDescent="0.25">
      <c r="A7" s="14" t="s">
        <v>99</v>
      </c>
      <c r="B7" s="23">
        <v>0.28599999999999998</v>
      </c>
      <c r="S7" s="26">
        <v>5</v>
      </c>
      <c r="T7" s="27" t="s">
        <v>13</v>
      </c>
      <c r="U7" s="28" t="s">
        <v>112</v>
      </c>
    </row>
    <row r="8" spans="1:21" ht="16.5" thickBot="1" x14ac:dyDescent="0.25">
      <c r="S8" s="26">
        <v>6</v>
      </c>
      <c r="T8" s="27" t="s">
        <v>30</v>
      </c>
      <c r="U8" s="28" t="s">
        <v>113</v>
      </c>
    </row>
    <row r="9" spans="1:21" ht="16.5" thickBot="1" x14ac:dyDescent="0.25">
      <c r="S9" s="26">
        <v>7</v>
      </c>
      <c r="T9" s="27" t="s">
        <v>39</v>
      </c>
      <c r="U9" s="28" t="s">
        <v>113</v>
      </c>
    </row>
    <row r="10" spans="1:21" ht="16.5" thickBot="1" x14ac:dyDescent="0.25">
      <c r="S10" s="26">
        <v>8</v>
      </c>
      <c r="T10" s="27" t="s">
        <v>43</v>
      </c>
      <c r="U10" s="28" t="s">
        <v>113</v>
      </c>
    </row>
    <row r="11" spans="1:21" ht="16.5" thickBot="1" x14ac:dyDescent="0.25">
      <c r="S11" s="26">
        <v>9</v>
      </c>
      <c r="T11" s="27" t="s">
        <v>49</v>
      </c>
      <c r="U11" s="28" t="s">
        <v>113</v>
      </c>
    </row>
    <row r="12" spans="1:21" ht="16.5" thickBot="1" x14ac:dyDescent="0.25">
      <c r="S12" s="26">
        <v>10</v>
      </c>
      <c r="T12" s="27" t="s">
        <v>56</v>
      </c>
      <c r="U12" s="28" t="s">
        <v>113</v>
      </c>
    </row>
    <row r="13" spans="1:21" ht="16.5" thickBot="1" x14ac:dyDescent="0.25">
      <c r="S13" s="26">
        <v>11</v>
      </c>
      <c r="T13" s="27" t="s">
        <v>61</v>
      </c>
      <c r="U13" s="28" t="s">
        <v>113</v>
      </c>
    </row>
    <row r="14" spans="1:21" ht="16.5" thickBot="1" x14ac:dyDescent="0.25">
      <c r="S14" s="26">
        <v>12</v>
      </c>
      <c r="T14" s="27" t="s">
        <v>64</v>
      </c>
      <c r="U14" s="28" t="s">
        <v>113</v>
      </c>
    </row>
    <row r="15" spans="1:21" ht="16.5" thickBot="1" x14ac:dyDescent="0.25">
      <c r="S15" s="26">
        <v>13</v>
      </c>
      <c r="T15" s="27" t="s">
        <v>27</v>
      </c>
      <c r="U15" s="28" t="s">
        <v>114</v>
      </c>
    </row>
    <row r="16" spans="1:21" ht="16.5" thickBot="1" x14ac:dyDescent="0.25">
      <c r="S16" s="26">
        <v>14</v>
      </c>
      <c r="T16" s="27" t="s">
        <v>74</v>
      </c>
      <c r="U16" s="28" t="s">
        <v>115</v>
      </c>
    </row>
    <row r="19" spans="1:4" ht="30" x14ac:dyDescent="0.2">
      <c r="A19" s="24" t="s">
        <v>101</v>
      </c>
      <c r="B19" s="24" t="s">
        <v>102</v>
      </c>
      <c r="C19" s="13" t="s">
        <v>105</v>
      </c>
      <c r="D19" s="24" t="s">
        <v>110</v>
      </c>
    </row>
    <row r="20" spans="1:4" x14ac:dyDescent="0.2">
      <c r="A20" s="14" t="s">
        <v>94</v>
      </c>
      <c r="B20" s="23">
        <v>4.8000000000000001E-2</v>
      </c>
      <c r="C20" s="21">
        <f>((B20+B21+B22+B23+B24+B25)*4.15)+0.85</f>
        <v>5</v>
      </c>
      <c r="D20" s="50" t="s">
        <v>109</v>
      </c>
    </row>
    <row r="21" spans="1:4" x14ac:dyDescent="0.2">
      <c r="A21" s="14" t="s">
        <v>95</v>
      </c>
      <c r="B21" s="23">
        <v>9.5000000000000001E-2</v>
      </c>
      <c r="C21" s="21">
        <f>((B21+B22+B23+B24+B25)*4.15)+0.85</f>
        <v>4.8007999999999997</v>
      </c>
      <c r="D21" s="51"/>
    </row>
    <row r="22" spans="1:4" x14ac:dyDescent="0.2">
      <c r="A22" s="14" t="s">
        <v>96</v>
      </c>
      <c r="B22" s="23">
        <v>0.14299999999999999</v>
      </c>
      <c r="C22" s="21">
        <f>((B22+B23+B24+B25)*4.15)+0.85</f>
        <v>4.4065500000000002</v>
      </c>
      <c r="D22" s="52"/>
    </row>
    <row r="23" spans="1:4" x14ac:dyDescent="0.2">
      <c r="A23" s="14" t="s">
        <v>97</v>
      </c>
      <c r="B23" s="23">
        <v>0.19</v>
      </c>
      <c r="C23" s="21">
        <f>((B23+B24+B25)*4.15)+0.85</f>
        <v>3.8131000000000004</v>
      </c>
      <c r="D23" s="15" t="s">
        <v>108</v>
      </c>
    </row>
    <row r="24" spans="1:4" x14ac:dyDescent="0.2">
      <c r="A24" s="14" t="s">
        <v>98</v>
      </c>
      <c r="B24" s="23">
        <v>0.23799999999999999</v>
      </c>
      <c r="C24" s="21">
        <f>((B24+B25)*4.15)+0.85</f>
        <v>3.0246000000000004</v>
      </c>
      <c r="D24" s="15" t="s">
        <v>107</v>
      </c>
    </row>
    <row r="25" spans="1:4" x14ac:dyDescent="0.2">
      <c r="A25" s="14" t="s">
        <v>99</v>
      </c>
      <c r="B25" s="23">
        <v>0.28599999999999998</v>
      </c>
      <c r="C25" s="21">
        <f>(B25*4.15)+0.85</f>
        <v>2.0369000000000002</v>
      </c>
      <c r="D25" s="15" t="s">
        <v>106</v>
      </c>
    </row>
  </sheetData>
  <mergeCells count="1">
    <mergeCell ref="D20:D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Pembobotan</vt:lpstr>
      <vt:lpstr>Simulasi Rentan Miskin</vt:lpstr>
      <vt:lpstr>Simulasi Miskin</vt:lpstr>
      <vt:lpstr>Simulasi Sangat Miskin</vt:lpstr>
      <vt:lpstr>Dasar Klasifikasi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Grady Nagara</cp:lastModifiedBy>
  <dcterms:created xsi:type="dcterms:W3CDTF">2022-03-08T05:15:25Z</dcterms:created>
  <dcterms:modified xsi:type="dcterms:W3CDTF">2022-03-21T04:20:42Z</dcterms:modified>
</cp:coreProperties>
</file>